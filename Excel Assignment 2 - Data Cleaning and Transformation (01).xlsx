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vurit\Downloads\"/>
    </mc:Choice>
  </mc:AlternateContent>
  <xr:revisionPtr revIDLastSave="0" documentId="13_ncr:1_{B02978B4-D8B1-41C5-8AE1-1246A15457B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Dataset!$A$84:$F$118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D503" i="2" l="1"/>
  <c r="D497" i="2"/>
  <c r="D483" i="2"/>
  <c r="D464" i="2"/>
  <c r="D458" i="2"/>
  <c r="D444" i="2"/>
  <c r="D421" i="2"/>
  <c r="D415" i="2"/>
  <c r="D401" i="2"/>
  <c r="E304" i="2"/>
  <c r="E298" i="2"/>
  <c r="E284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17" i="2"/>
  <c r="E342" i="2"/>
  <c r="E336" i="2"/>
  <c r="E322" i="2"/>
  <c r="D261" i="2"/>
  <c r="D266" i="2" s="1"/>
  <c r="D247" i="2"/>
  <c r="D191" i="2"/>
  <c r="D185" i="2"/>
  <c r="D171" i="2"/>
  <c r="G127" i="2" a="1"/>
  <c r="G127" i="2" s="1"/>
  <c r="D110" i="2"/>
  <c r="D104" i="2"/>
  <c r="D90" i="2"/>
  <c r="D72" i="2"/>
  <c r="D66" i="2"/>
  <c r="D5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<sst xmlns="http://schemas.openxmlformats.org/spreadsheetml/2006/main" count="1819" uniqueCount="140">
  <si>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</si>
  <si>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</si>
  <si>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</si>
  <si>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</si>
  <si>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</si>
  <si>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</si>
  <si>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</si>
  <si>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</si>
  <si>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</si>
  <si>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</si>
  <si>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</si>
  <si>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</si>
  <si>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</si>
  <si>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</si>
  <si>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</si>
  <si>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</si>
  <si>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</si>
  <si>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</si>
  <si>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</si>
  <si>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</si>
  <si>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</si>
  <si>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</si>
  <si>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</si>
  <si>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</si>
  <si>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</si>
  <si>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</si>
  <si>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</si>
  <si>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</si>
  <si>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</si>
  <si>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</si>
  <si>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</si>
  <si>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</si>
  <si>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</si>
  <si>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</si>
  <si>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</si>
  <si>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</si>
  <si>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</si>
  <si>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</si>
  <si>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</si>
  <si>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</si>
  <si>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</si>
  <si>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</si>
  <si>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</si>
  <si>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</si>
  <si>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</si>
  <si>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</si>
  <si>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</si>
  <si>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</si>
  <si>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</si>
  <si>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</si>
  <si>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</si>
  <si>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</si>
  <si>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</si>
  <si>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</si>
  <si>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</si>
  <si>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</si>
  <si>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</si>
  <si>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</si>
  <si>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</si>
  <si>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</si>
  <si>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</si>
  <si>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</si>
  <si>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</si>
  <si>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</si>
  <si>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</si>
  <si>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</si>
  <si>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</si>
  <si>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</si>
  <si>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</si>
  <si>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</si>
  <si>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</si>
  <si>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</si>
  <si>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</si>
  <si>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</si>
  <si>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</si>
  <si>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</si>
  <si>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</si>
  <si>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</si>
  <si>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</si>
  <si>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</si>
  <si>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</si>
  <si>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</si>
  <si>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</si>
  <si>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</si>
  <si>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</si>
  <si>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</si>
  <si>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</si>
  <si>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</si>
  <si>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</si>
  <si>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</si>
  <si>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</si>
  <si>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</si>
  <si>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</si>
  <si>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</si>
  <si>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</si>
  <si>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</si>
  <si>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</si>
  <si>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</si>
  <si>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</si>
  <si>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</si>
  <si>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</si>
  <si>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</si>
  <si>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</si>
  <si>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</si>
  <si>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</si>
  <si>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</si>
  <si>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</si>
  <si>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</si>
  <si>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</si>
  <si>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</si>
  <si>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</si>
  <si>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</si>
  <si>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</si>
  <si>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</si>
  <si>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</si>
  <si>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</si>
  <si>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Answers</t>
  </si>
  <si>
    <t>I Handled missing Data with Average function as I Shown in the data Table</t>
  </si>
  <si>
    <t xml:space="preserve">Here I can use filter Button and remove the Blank cells </t>
  </si>
  <si>
    <t>Proper</t>
  </si>
  <si>
    <t>Here I use Proper Function to deal with this</t>
  </si>
  <si>
    <t>Here I use filter to Category and check any miss spellings are there and I find this and I highlighted these typos</t>
  </si>
  <si>
    <t>Here I Replaced Electroni with Electronics</t>
  </si>
  <si>
    <t xml:space="preserve">3 Duplicates Values are Removed 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</si>
  <si>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</si>
  <si>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</si>
  <si>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</si>
  <si>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</si>
  <si>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</si>
  <si>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</si>
  <si>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</si>
  <si>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</si>
  <si>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</si>
  <si>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</si>
  <si>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</si>
  <si>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</si>
  <si>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Manufacturing Date</t>
  </si>
  <si>
    <t xml:space="preserve">Product Brand </t>
  </si>
  <si>
    <t>Country Code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</si>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</sst>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6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scheme val="minor"/>
    </font>
    <font>
      <sz val="10"/>
      <color theme="1"/>
      <name val="Arial"/>
      <family val="2"/>
    </font>
    <font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b/>
      <i/>
      <sz val="16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rgb="FFE0F7FA"/>
      </patternFill>
    </fill>
    <fill>
      <patternFill patternType="solid">
        <fgColor theme="5" tint="-0.249977111117893"/>
        <bgColor rgb="FFE0F7FA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12" fillId="0" borderId="0" xfId="0" applyFont="1" applyAlignment="1">
      <alignment vertical="center"/>
    </xf>
    <xf numFmtId="0" fontId="3" fillId="5" borderId="0" xfId="0" applyFont="1" applyFill="1"/>
    <xf numFmtId="0" fontId="0" fillId="5" borderId="0" xfId="0" applyFill="1"/>
    <xf numFmtId="0" fontId="3" fillId="6" borderId="0" xfId="0" applyFont="1" applyFill="1"/>
    <xf numFmtId="0" fontId="0" fillId="6" borderId="0" xfId="0" applyFill="1"/>
    <xf numFmtId="0" fontId="5" fillId="7" borderId="0" xfId="0" applyFont="1" applyFill="1"/>
    <xf numFmtId="0" fontId="11" fillId="0" borderId="0" xfId="0" applyFont="1"/>
    <xf numFmtId="0" fontId="9" fillId="3" borderId="0" xfId="0" applyFont="1" applyFill="1"/>
    <xf numFmtId="0" fontId="14" fillId="2" borderId="0" xfId="0" applyFont="1" applyFill="1" applyAlignment="1">
      <alignment horizontal="center"/>
    </xf>
    <xf numFmtId="0" fontId="3" fillId="4" borderId="0" xfId="0" applyFont="1" applyFill="1"/>
    <xf numFmtId="0" fontId="0" fillId="4" borderId="0" xfId="0" applyFill="1"/>
    <xf numFmtId="0" fontId="5" fillId="8" borderId="0" xfId="0" applyFont="1" applyFill="1"/>
    <xf numFmtId="0" fontId="3" fillId="9" borderId="0" xfId="0" applyFont="1" applyFill="1"/>
    <xf numFmtId="0" fontId="0" fillId="9" borderId="0" xfId="0" applyFill="1"/>
    <xf numFmtId="0" fontId="5" fillId="4" borderId="0" xfId="0" applyFont="1" applyFill="1"/>
    <xf numFmtId="16" fontId="5" fillId="0" borderId="0" xfId="0" applyNumberFormat="1" applyFont="1"/>
    <xf numFmtId="16" fontId="5" fillId="3" borderId="0" xfId="0" applyNumberFormat="1" applyFont="1" applyFill="1"/>
    <xf numFmtId="44" fontId="5" fillId="0" borderId="0" xfId="1" applyFont="1"/>
    <xf numFmtId="44" fontId="5" fillId="3" borderId="0" xfId="1" applyFont="1" applyFill="1"/>
    <xf numFmtId="0" fontId="15" fillId="4" borderId="0" xfId="0" applyFont="1" applyFill="1"/>
    <xf numFmtId="14" fontId="5" fillId="0" borderId="0" xfId="0" applyNumberFormat="1" applyFont="1"/>
    <xf numFmtId="14" fontId="5" fillId="3" borderId="0" xfId="0" applyNumberFormat="1" applyFont="1" applyFill="1"/>
    <xf numFmtId="0" fontId="11" fillId="0" borderId="0" xfId="0" applyFont="1" applyAlignment="1">
      <alignment horizontal="center"/>
    </xf>
    <xf numFmtId="0" fontId="13" fillId="4" borderId="0" xfId="0" applyFont="1" applyFill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3" fillId="4" borderId="0" xfId="0" applyFont="1" applyFill="1" applyAlignment="1">
      <alignment horizontal="center"/>
    </xf>
    <xf numFmtId="0" fontId="9" fillId="0" borderId="0" xfId="0" applyFont="1"/>
  </cellXfs>
  <cellStyles count="2">
    <cellStyle name="Currency" xfId="1" builtinId="4"/>
    <cellStyle name="Normal" xfId="0" builtinId="0"/>
  </cellStyles>
  <dxfs count="3">
    <dxf>
      <font>
        <color theme="5" tint="-0.499984740745262"/>
      </font>
    </dxf>
    <dxf>
      <font>
        <color theme="3"/>
      </font>
      <fill>
        <patternFill>
          <bgColor rgb="FFFF0000"/>
        </patternFill>
      </fill>
    </dxf>
    <dxf>
      <font>
        <color theme="5" tint="-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17" workbookViewId="0">
      <selection activeCell="C25" sqref="C25:K25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P1000"/>
  <sheetViews>
    <sheetView tabSelected="1" zoomScale="85" zoomScaleNormal="85" workbookViewId="0">
      <selection activeCell="H82" sqref="H82"/>
    </sheetView>
  </sheetViews>
  <sheetFormatPr defaultColWidth="12.6640625" defaultRowHeight="15" customHeight="1" x14ac:dyDescent="0.25"/>
  <cols>
    <col min="1" max="6" width="19.5546875" customWidth="1"/>
    <col min="8" max="8" width="22.554687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9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9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9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9" ht="15.75" customHeight="1" x14ac:dyDescent="0.25"/>
    <row r="37" spans="1:9" ht="15.75" customHeight="1" x14ac:dyDescent="0.25"/>
    <row r="38" spans="1:9" ht="15.75" customHeight="1" x14ac:dyDescent="0.25"/>
    <row r="39" spans="1:9" ht="15.75" customHeight="1" x14ac:dyDescent="0.25">
      <c r="A39" s="32" t="s">
        <v>116</v>
      </c>
      <c r="B39" s="32"/>
      <c r="C39" s="32"/>
    </row>
    <row r="40" spans="1:9" ht="15.75" customHeight="1" x14ac:dyDescent="0.25">
      <c r="A40" s="32"/>
      <c r="B40" s="32"/>
      <c r="C40" s="32"/>
    </row>
    <row r="41" spans="1:9" ht="15.75" customHeight="1" x14ac:dyDescent="0.25"/>
    <row r="42" spans="1:9" ht="15.75" customHeight="1" x14ac:dyDescent="0.3">
      <c r="A42" s="2" t="s">
        <v>1</v>
      </c>
    </row>
    <row r="43" spans="1:9" ht="15.75" customHeight="1" x14ac:dyDescent="0.3">
      <c r="B43" s="10" t="s">
        <v>2</v>
      </c>
      <c r="C43" s="11"/>
      <c r="D43" s="11"/>
      <c r="E43" s="11"/>
      <c r="F43" s="11"/>
      <c r="G43" s="11"/>
      <c r="H43" s="11"/>
      <c r="I43" s="11"/>
    </row>
    <row r="44" spans="1:9" ht="15.75" customHeight="1" x14ac:dyDescent="0.25">
      <c r="E44" s="9"/>
    </row>
    <row r="45" spans="1:9" ht="15.75" customHeight="1" x14ac:dyDescent="0.25"/>
    <row r="46" spans="1:9" ht="15.75" customHeight="1" x14ac:dyDescent="0.25">
      <c r="A46" s="7" t="s">
        <v>19</v>
      </c>
      <c r="B46" s="7" t="s">
        <v>20</v>
      </c>
      <c r="C46" s="7" t="s">
        <v>21</v>
      </c>
      <c r="D46" s="7" t="s">
        <v>22</v>
      </c>
      <c r="E46" s="7" t="s">
        <v>23</v>
      </c>
      <c r="F46" s="7" t="s">
        <v>24</v>
      </c>
    </row>
    <row r="47" spans="1:9" ht="15.75" customHeight="1" x14ac:dyDescent="0.25">
      <c r="A47" s="5" t="s">
        <v>25</v>
      </c>
      <c r="B47" s="5" t="s">
        <v>26</v>
      </c>
      <c r="C47" s="5" t="s">
        <v>27</v>
      </c>
      <c r="D47" s="5">
        <v>1000</v>
      </c>
      <c r="E47" s="5">
        <v>30</v>
      </c>
      <c r="F47" s="5" t="s">
        <v>28</v>
      </c>
    </row>
    <row r="48" spans="1:9" ht="15.75" customHeight="1" x14ac:dyDescent="0.25">
      <c r="A48" s="8" t="s">
        <v>29</v>
      </c>
      <c r="B48" s="8" t="s">
        <v>30</v>
      </c>
      <c r="C48" s="8" t="s">
        <v>31</v>
      </c>
      <c r="D48" s="8">
        <v>80</v>
      </c>
      <c r="E48" s="8">
        <v>15</v>
      </c>
      <c r="F48" s="8" t="s">
        <v>32</v>
      </c>
    </row>
    <row r="49" spans="1:10" ht="15.75" customHeight="1" x14ac:dyDescent="0.25">
      <c r="A49" s="5" t="s">
        <v>33</v>
      </c>
      <c r="B49" s="5" t="s">
        <v>34</v>
      </c>
      <c r="C49" s="5" t="s">
        <v>35</v>
      </c>
      <c r="D49" s="5">
        <v>130</v>
      </c>
      <c r="E49" s="5">
        <v>40</v>
      </c>
      <c r="F49" s="5" t="s">
        <v>36</v>
      </c>
    </row>
    <row r="50" spans="1:10" ht="15.75" customHeight="1" x14ac:dyDescent="0.25">
      <c r="A50" s="8" t="s">
        <v>37</v>
      </c>
      <c r="B50" s="8" t="s">
        <v>38</v>
      </c>
      <c r="C50" s="8" t="s">
        <v>39</v>
      </c>
      <c r="D50" s="8">
        <v>900</v>
      </c>
      <c r="E50" s="8">
        <v>25</v>
      </c>
      <c r="F50" s="8" t="s">
        <v>28</v>
      </c>
    </row>
    <row r="51" spans="1:10" ht="15.75" customHeight="1" x14ac:dyDescent="0.25">
      <c r="A51" s="5" t="s">
        <v>40</v>
      </c>
      <c r="B51" s="5" t="s">
        <v>41</v>
      </c>
      <c r="C51" s="5" t="s">
        <v>42</v>
      </c>
      <c r="D51" s="5">
        <v>70</v>
      </c>
      <c r="E51" s="5">
        <v>20</v>
      </c>
      <c r="F51" s="5"/>
    </row>
    <row r="52" spans="1:10" ht="15.75" customHeight="1" x14ac:dyDescent="0.25">
      <c r="A52" s="8" t="s">
        <v>43</v>
      </c>
      <c r="B52" s="8" t="s">
        <v>44</v>
      </c>
      <c r="C52" s="8" t="s">
        <v>45</v>
      </c>
      <c r="D52" s="14">
        <f>AVERAGE(D47:D51)</f>
        <v>436</v>
      </c>
      <c r="E52" s="8">
        <v>45</v>
      </c>
      <c r="F52" s="8" t="s">
        <v>46</v>
      </c>
      <c r="H52" s="33" t="s">
        <v>117</v>
      </c>
      <c r="I52" s="33"/>
      <c r="J52" s="33"/>
    </row>
    <row r="53" spans="1:10" ht="15.75" customHeight="1" x14ac:dyDescent="0.25">
      <c r="A53" s="5" t="s">
        <v>47</v>
      </c>
      <c r="B53" s="5" t="s">
        <v>48</v>
      </c>
      <c r="C53" s="5" t="s">
        <v>49</v>
      </c>
      <c r="D53" s="5">
        <v>30</v>
      </c>
      <c r="E53" s="5">
        <v>5</v>
      </c>
      <c r="F53" s="5" t="s">
        <v>32</v>
      </c>
      <c r="H53" s="33"/>
      <c r="I53" s="33"/>
      <c r="J53" s="33"/>
    </row>
    <row r="54" spans="1:10" ht="15.75" customHeight="1" x14ac:dyDescent="0.25">
      <c r="A54" s="8" t="s">
        <v>50</v>
      </c>
      <c r="B54" s="8" t="s">
        <v>51</v>
      </c>
      <c r="C54" s="8" t="s">
        <v>52</v>
      </c>
      <c r="D54" s="8">
        <v>90</v>
      </c>
      <c r="E54" s="8">
        <v>35</v>
      </c>
      <c r="F54" s="8" t="s">
        <v>36</v>
      </c>
    </row>
    <row r="55" spans="1:10" ht="15.75" customHeight="1" x14ac:dyDescent="0.25">
      <c r="A55" s="5" t="s">
        <v>53</v>
      </c>
      <c r="B55" s="5" t="s">
        <v>54</v>
      </c>
      <c r="C55" s="5" t="s">
        <v>55</v>
      </c>
      <c r="D55" s="5">
        <v>500</v>
      </c>
      <c r="E55" s="5">
        <v>50</v>
      </c>
      <c r="F55" s="5" t="s">
        <v>28</v>
      </c>
    </row>
    <row r="56" spans="1:10" ht="15.75" customHeight="1" x14ac:dyDescent="0.25">
      <c r="A56" s="8" t="s">
        <v>56</v>
      </c>
      <c r="B56" s="8" t="s">
        <v>57</v>
      </c>
      <c r="C56" s="8" t="s">
        <v>58</v>
      </c>
      <c r="D56" s="8">
        <v>130</v>
      </c>
      <c r="E56" s="8">
        <v>10</v>
      </c>
      <c r="F56" s="8" t="s">
        <v>59</v>
      </c>
    </row>
    <row r="57" spans="1:10" ht="15.75" customHeight="1" x14ac:dyDescent="0.25">
      <c r="A57" s="5" t="s">
        <v>60</v>
      </c>
      <c r="B57" s="5" t="s">
        <v>61</v>
      </c>
      <c r="C57" s="5" t="s">
        <v>62</v>
      </c>
      <c r="D57" s="5">
        <v>950</v>
      </c>
      <c r="E57" s="5">
        <v>25</v>
      </c>
      <c r="F57" s="5" t="s">
        <v>28</v>
      </c>
    </row>
    <row r="58" spans="1:10" ht="15.75" customHeight="1" x14ac:dyDescent="0.25">
      <c r="A58" s="8" t="s">
        <v>63</v>
      </c>
      <c r="B58" s="8" t="s">
        <v>30</v>
      </c>
      <c r="C58" s="8" t="s">
        <v>49</v>
      </c>
      <c r="D58" s="8">
        <v>90</v>
      </c>
      <c r="E58" s="8">
        <v>40</v>
      </c>
      <c r="F58" s="8"/>
    </row>
    <row r="59" spans="1:10" ht="15.75" customHeight="1" x14ac:dyDescent="0.25">
      <c r="A59" s="5" t="s">
        <v>64</v>
      </c>
      <c r="B59" s="5" t="s">
        <v>34</v>
      </c>
      <c r="C59" s="5" t="s">
        <v>65</v>
      </c>
      <c r="D59" s="5">
        <v>120</v>
      </c>
      <c r="E59" s="5">
        <v>35</v>
      </c>
      <c r="F59" s="5"/>
    </row>
    <row r="60" spans="1:10" ht="15.75" customHeight="1" x14ac:dyDescent="0.25">
      <c r="A60" s="8" t="s">
        <v>66</v>
      </c>
      <c r="B60" s="8" t="s">
        <v>67</v>
      </c>
      <c r="C60" s="8" t="s">
        <v>68</v>
      </c>
      <c r="D60" s="8">
        <v>150</v>
      </c>
      <c r="E60" s="8">
        <v>15</v>
      </c>
      <c r="F60" s="8" t="s">
        <v>46</v>
      </c>
    </row>
    <row r="61" spans="1:10" ht="15.75" customHeight="1" x14ac:dyDescent="0.25">
      <c r="A61" s="5" t="s">
        <v>69</v>
      </c>
      <c r="B61" s="5" t="s">
        <v>70</v>
      </c>
      <c r="C61" s="5" t="s">
        <v>71</v>
      </c>
      <c r="D61" s="5">
        <v>250</v>
      </c>
      <c r="E61" s="5">
        <v>20</v>
      </c>
      <c r="F61" s="5" t="s">
        <v>46</v>
      </c>
    </row>
    <row r="62" spans="1:10" ht="15.75" customHeight="1" x14ac:dyDescent="0.25">
      <c r="A62" s="8" t="s">
        <v>72</v>
      </c>
      <c r="B62" s="8" t="s">
        <v>73</v>
      </c>
      <c r="C62" s="8" t="s">
        <v>74</v>
      </c>
      <c r="D62" s="8">
        <v>50</v>
      </c>
      <c r="E62" s="8">
        <v>35</v>
      </c>
      <c r="F62" s="8" t="s">
        <v>75</v>
      </c>
    </row>
    <row r="63" spans="1:10" ht="15.75" customHeight="1" x14ac:dyDescent="0.25">
      <c r="A63" s="5" t="s">
        <v>76</v>
      </c>
      <c r="B63" s="5" t="s">
        <v>67</v>
      </c>
      <c r="C63" s="5" t="s">
        <v>77</v>
      </c>
      <c r="D63" s="5">
        <v>160</v>
      </c>
      <c r="E63" s="5">
        <v>15</v>
      </c>
      <c r="F63" s="5" t="s">
        <v>46</v>
      </c>
    </row>
    <row r="64" spans="1:10" ht="15.75" customHeight="1" x14ac:dyDescent="0.25">
      <c r="A64" s="8" t="s">
        <v>78</v>
      </c>
      <c r="B64" s="8" t="s">
        <v>26</v>
      </c>
      <c r="C64" s="8" t="s">
        <v>79</v>
      </c>
      <c r="D64" s="8">
        <v>980</v>
      </c>
      <c r="E64" s="8">
        <v>10</v>
      </c>
      <c r="F64" s="8" t="s">
        <v>28</v>
      </c>
    </row>
    <row r="65" spans="1:6" ht="15.75" customHeight="1" x14ac:dyDescent="0.25">
      <c r="A65" s="5" t="s">
        <v>80</v>
      </c>
      <c r="B65" s="5" t="s">
        <v>81</v>
      </c>
      <c r="C65" s="5" t="s">
        <v>82</v>
      </c>
      <c r="D65" s="5">
        <v>150</v>
      </c>
      <c r="E65" s="5">
        <v>15</v>
      </c>
      <c r="F65" s="5" t="s">
        <v>32</v>
      </c>
    </row>
    <row r="66" spans="1:6" ht="15.75" customHeight="1" x14ac:dyDescent="0.25">
      <c r="A66" s="8" t="s">
        <v>83</v>
      </c>
      <c r="B66" s="8" t="s">
        <v>84</v>
      </c>
      <c r="C66" s="8" t="s">
        <v>85</v>
      </c>
      <c r="D66" s="14">
        <f>AVERAGE(D61:D65)</f>
        <v>318</v>
      </c>
      <c r="E66" s="8">
        <v>10</v>
      </c>
      <c r="F66" s="8" t="s">
        <v>59</v>
      </c>
    </row>
    <row r="67" spans="1:6" ht="15.75" customHeight="1" x14ac:dyDescent="0.25">
      <c r="A67" s="5" t="s">
        <v>86</v>
      </c>
      <c r="B67" s="5" t="s">
        <v>87</v>
      </c>
      <c r="C67" s="5" t="s">
        <v>88</v>
      </c>
      <c r="D67" s="5">
        <v>700</v>
      </c>
      <c r="E67" s="5">
        <v>50</v>
      </c>
      <c r="F67" s="5" t="s">
        <v>28</v>
      </c>
    </row>
    <row r="68" spans="1:6" ht="15.75" customHeight="1" x14ac:dyDescent="0.25">
      <c r="A68" s="8" t="s">
        <v>89</v>
      </c>
      <c r="B68" s="8" t="s">
        <v>90</v>
      </c>
      <c r="C68" s="8" t="s">
        <v>91</v>
      </c>
      <c r="D68" s="8">
        <v>80</v>
      </c>
      <c r="E68" s="8">
        <v>20</v>
      </c>
      <c r="F68" s="8" t="s">
        <v>36</v>
      </c>
    </row>
    <row r="69" spans="1:6" ht="15.75" customHeight="1" x14ac:dyDescent="0.25">
      <c r="A69" s="5" t="s">
        <v>92</v>
      </c>
      <c r="B69" s="5" t="s">
        <v>93</v>
      </c>
      <c r="C69" s="5" t="s">
        <v>94</v>
      </c>
      <c r="D69" s="5">
        <v>150</v>
      </c>
      <c r="E69" s="5">
        <v>30</v>
      </c>
      <c r="F69" s="5"/>
    </row>
    <row r="70" spans="1:6" ht="15.75" customHeight="1" x14ac:dyDescent="0.25">
      <c r="A70" s="8" t="s">
        <v>72</v>
      </c>
      <c r="B70" s="8" t="s">
        <v>73</v>
      </c>
      <c r="C70" s="8" t="s">
        <v>74</v>
      </c>
      <c r="D70" s="8">
        <v>50</v>
      </c>
      <c r="E70" s="8">
        <v>35</v>
      </c>
      <c r="F70" s="8" t="s">
        <v>75</v>
      </c>
    </row>
    <row r="71" spans="1:6" ht="15.75" customHeight="1" x14ac:dyDescent="0.25">
      <c r="A71" s="5" t="s">
        <v>95</v>
      </c>
      <c r="B71" s="5" t="s">
        <v>96</v>
      </c>
      <c r="C71" s="5" t="s">
        <v>97</v>
      </c>
      <c r="D71" s="5">
        <v>800</v>
      </c>
      <c r="E71" s="5">
        <v>45</v>
      </c>
      <c r="F71" s="5" t="s">
        <v>28</v>
      </c>
    </row>
    <row r="72" spans="1:6" ht="15.75" customHeight="1" x14ac:dyDescent="0.25">
      <c r="A72" s="8" t="s">
        <v>98</v>
      </c>
      <c r="B72" s="8" t="s">
        <v>81</v>
      </c>
      <c r="C72" s="8" t="s">
        <v>99</v>
      </c>
      <c r="D72" s="14">
        <f>AVERAGE(D67:D71)</f>
        <v>356</v>
      </c>
      <c r="E72" s="8">
        <v>25</v>
      </c>
      <c r="F72" s="8" t="s">
        <v>32</v>
      </c>
    </row>
    <row r="73" spans="1:6" ht="15.75" customHeight="1" x14ac:dyDescent="0.25">
      <c r="A73" s="5" t="s">
        <v>100</v>
      </c>
      <c r="B73" s="5" t="s">
        <v>51</v>
      </c>
      <c r="C73" s="5" t="s">
        <v>101</v>
      </c>
      <c r="D73" s="5">
        <v>400</v>
      </c>
      <c r="E73" s="5">
        <v>40</v>
      </c>
      <c r="F73" s="5" t="s">
        <v>36</v>
      </c>
    </row>
    <row r="74" spans="1:6" ht="15.75" customHeight="1" x14ac:dyDescent="0.25">
      <c r="A74" s="8" t="s">
        <v>69</v>
      </c>
      <c r="B74" s="8" t="s">
        <v>70</v>
      </c>
      <c r="C74" s="8" t="s">
        <v>71</v>
      </c>
      <c r="D74" s="8">
        <v>250</v>
      </c>
      <c r="E74" s="8">
        <v>20</v>
      </c>
      <c r="F74" s="8" t="s">
        <v>46</v>
      </c>
    </row>
    <row r="75" spans="1:6" ht="15.75" customHeight="1" x14ac:dyDescent="0.25">
      <c r="A75" s="5" t="s">
        <v>102</v>
      </c>
      <c r="B75" s="5" t="s">
        <v>103</v>
      </c>
      <c r="C75" s="5" t="s">
        <v>104</v>
      </c>
      <c r="D75" s="5">
        <v>60</v>
      </c>
      <c r="E75" s="5">
        <v>30</v>
      </c>
      <c r="F75" s="5" t="s">
        <v>32</v>
      </c>
    </row>
    <row r="76" spans="1:6" ht="15.75" customHeight="1" x14ac:dyDescent="0.25">
      <c r="A76" s="8" t="s">
        <v>105</v>
      </c>
      <c r="B76" s="8" t="s">
        <v>106</v>
      </c>
      <c r="C76" s="8" t="s">
        <v>107</v>
      </c>
      <c r="D76" s="8">
        <v>40</v>
      </c>
      <c r="E76" s="8">
        <v>10</v>
      </c>
      <c r="F76" s="8" t="s">
        <v>36</v>
      </c>
    </row>
    <row r="77" spans="1:6" ht="15.75" customHeight="1" x14ac:dyDescent="0.25">
      <c r="A77" s="5" t="s">
        <v>108</v>
      </c>
      <c r="B77" s="5" t="s">
        <v>93</v>
      </c>
      <c r="C77" s="5" t="s">
        <v>109</v>
      </c>
      <c r="D77" s="5">
        <v>130</v>
      </c>
      <c r="E77" s="5">
        <v>5</v>
      </c>
      <c r="F77" s="5" t="s">
        <v>28</v>
      </c>
    </row>
    <row r="78" spans="1:6" ht="15.75" customHeight="1" x14ac:dyDescent="0.25">
      <c r="A78" s="8" t="s">
        <v>110</v>
      </c>
      <c r="B78" s="8" t="s">
        <v>111</v>
      </c>
      <c r="C78" s="8" t="s">
        <v>112</v>
      </c>
      <c r="D78" s="8">
        <v>50</v>
      </c>
      <c r="E78" s="8">
        <v>50</v>
      </c>
      <c r="F78" s="8" t="s">
        <v>32</v>
      </c>
    </row>
    <row r="79" spans="1:6" ht="15.75" customHeight="1" x14ac:dyDescent="0.25">
      <c r="A79" s="5" t="s">
        <v>60</v>
      </c>
      <c r="B79" s="5" t="s">
        <v>61</v>
      </c>
      <c r="C79" s="5" t="s">
        <v>62</v>
      </c>
      <c r="D79" s="5">
        <v>950</v>
      </c>
      <c r="E79" s="5">
        <v>25</v>
      </c>
      <c r="F79" s="5" t="s">
        <v>28</v>
      </c>
    </row>
    <row r="80" spans="1:6" ht="15.75" customHeight="1" x14ac:dyDescent="0.25">
      <c r="A80" s="8" t="s">
        <v>113</v>
      </c>
      <c r="B80" s="8" t="s">
        <v>114</v>
      </c>
      <c r="C80" s="8" t="s">
        <v>115</v>
      </c>
      <c r="D80" s="8">
        <v>100</v>
      </c>
      <c r="E80" s="8">
        <v>20</v>
      </c>
      <c r="F80" s="8" t="s">
        <v>75</v>
      </c>
    </row>
    <row r="81" spans="1:11" ht="15.75" customHeight="1" x14ac:dyDescent="0.25"/>
    <row r="82" spans="1:11" ht="15.75" customHeight="1" x14ac:dyDescent="0.3">
      <c r="A82" s="12" t="s">
        <v>3</v>
      </c>
      <c r="B82" s="13"/>
      <c r="C82" s="13"/>
      <c r="D82" s="13"/>
      <c r="E82" s="13"/>
      <c r="F82" s="13"/>
    </row>
    <row r="83" spans="1:11" ht="15.75" customHeight="1" x14ac:dyDescent="0.25"/>
    <row r="84" spans="1:11" ht="15.75" customHeight="1" x14ac:dyDescent="0.25">
      <c r="A84" s="7" t="s">
        <v>19</v>
      </c>
      <c r="B84" s="7" t="s">
        <v>20</v>
      </c>
      <c r="C84" s="7" t="s">
        <v>21</v>
      </c>
      <c r="D84" s="7" t="s">
        <v>22</v>
      </c>
      <c r="E84" s="7" t="s">
        <v>23</v>
      </c>
      <c r="F84" s="7" t="s">
        <v>24</v>
      </c>
    </row>
    <row r="85" spans="1:11" ht="15.75" customHeight="1" x14ac:dyDescent="0.25">
      <c r="A85" s="5" t="s">
        <v>25</v>
      </c>
      <c r="B85" s="5" t="s">
        <v>26</v>
      </c>
      <c r="C85" s="5" t="s">
        <v>27</v>
      </c>
      <c r="D85" s="5">
        <v>1000</v>
      </c>
      <c r="E85" s="5">
        <v>30</v>
      </c>
      <c r="F85" s="5" t="s">
        <v>28</v>
      </c>
    </row>
    <row r="86" spans="1:11" ht="15.75" customHeight="1" x14ac:dyDescent="0.25">
      <c r="A86" s="8" t="s">
        <v>29</v>
      </c>
      <c r="B86" s="8" t="s">
        <v>30</v>
      </c>
      <c r="C86" s="8" t="s">
        <v>31</v>
      </c>
      <c r="D86" s="8">
        <v>80</v>
      </c>
      <c r="E86" s="8">
        <v>15</v>
      </c>
      <c r="F86" s="8" t="s">
        <v>32</v>
      </c>
    </row>
    <row r="87" spans="1:11" ht="15.75" customHeight="1" x14ac:dyDescent="0.25">
      <c r="A87" s="5" t="s">
        <v>33</v>
      </c>
      <c r="B87" s="5" t="s">
        <v>34</v>
      </c>
      <c r="C87" s="5" t="s">
        <v>35</v>
      </c>
      <c r="D87" s="5">
        <v>130</v>
      </c>
      <c r="E87" s="5">
        <v>40</v>
      </c>
      <c r="F87" s="5" t="s">
        <v>36</v>
      </c>
    </row>
    <row r="88" spans="1:11" ht="15.75" customHeight="1" x14ac:dyDescent="0.25">
      <c r="A88" s="8" t="s">
        <v>37</v>
      </c>
      <c r="B88" s="8" t="s">
        <v>38</v>
      </c>
      <c r="C88" s="8" t="s">
        <v>39</v>
      </c>
      <c r="D88" s="8">
        <v>900</v>
      </c>
      <c r="E88" s="8">
        <v>25</v>
      </c>
      <c r="F88" s="8" t="s">
        <v>28</v>
      </c>
    </row>
    <row r="89" spans="1:11" ht="15.75" hidden="1" customHeight="1" x14ac:dyDescent="0.25">
      <c r="A89" s="5" t="s">
        <v>40</v>
      </c>
      <c r="B89" s="5" t="s">
        <v>41</v>
      </c>
      <c r="C89" s="5" t="s">
        <v>42</v>
      </c>
      <c r="D89" s="5">
        <v>70</v>
      </c>
      <c r="E89" s="5">
        <v>20</v>
      </c>
      <c r="F89" s="5"/>
    </row>
    <row r="90" spans="1:11" ht="15.75" customHeight="1" x14ac:dyDescent="0.25">
      <c r="A90" s="8" t="s">
        <v>43</v>
      </c>
      <c r="B90" s="8" t="s">
        <v>44</v>
      </c>
      <c r="C90" s="8" t="s">
        <v>45</v>
      </c>
      <c r="D90" s="14">
        <f>AVERAGE(D85:D89)</f>
        <v>436</v>
      </c>
      <c r="E90" s="8">
        <v>45</v>
      </c>
      <c r="F90" s="16" t="s">
        <v>46</v>
      </c>
      <c r="H90" s="34" t="s">
        <v>118</v>
      </c>
      <c r="I90" s="34"/>
      <c r="J90" s="34"/>
      <c r="K90" s="34"/>
    </row>
    <row r="91" spans="1:11" ht="15.75" customHeight="1" x14ac:dyDescent="0.25">
      <c r="A91" s="5" t="s">
        <v>47</v>
      </c>
      <c r="B91" s="5" t="s">
        <v>48</v>
      </c>
      <c r="C91" s="5" t="s">
        <v>49</v>
      </c>
      <c r="D91" s="5">
        <v>30</v>
      </c>
      <c r="E91" s="5">
        <v>5</v>
      </c>
      <c r="F91" s="5" t="s">
        <v>32</v>
      </c>
    </row>
    <row r="92" spans="1:11" ht="15.75" customHeight="1" x14ac:dyDescent="0.25">
      <c r="A92" s="8" t="s">
        <v>50</v>
      </c>
      <c r="B92" s="8" t="s">
        <v>51</v>
      </c>
      <c r="C92" s="8" t="s">
        <v>52</v>
      </c>
      <c r="D92" s="8">
        <v>90</v>
      </c>
      <c r="E92" s="8">
        <v>35</v>
      </c>
      <c r="F92" s="8" t="s">
        <v>36</v>
      </c>
    </row>
    <row r="93" spans="1:11" ht="15.75" customHeight="1" x14ac:dyDescent="0.25">
      <c r="A93" s="5" t="s">
        <v>53</v>
      </c>
      <c r="B93" s="5" t="s">
        <v>54</v>
      </c>
      <c r="C93" s="5" t="s">
        <v>55</v>
      </c>
      <c r="D93" s="5">
        <v>500</v>
      </c>
      <c r="E93" s="5">
        <v>50</v>
      </c>
      <c r="F93" s="5" t="s">
        <v>28</v>
      </c>
    </row>
    <row r="94" spans="1:11" ht="15.75" customHeight="1" x14ac:dyDescent="0.25">
      <c r="A94" s="8" t="s">
        <v>56</v>
      </c>
      <c r="B94" s="8" t="s">
        <v>57</v>
      </c>
      <c r="C94" s="8" t="s">
        <v>58</v>
      </c>
      <c r="D94" s="8">
        <v>130</v>
      </c>
      <c r="E94" s="8">
        <v>10</v>
      </c>
      <c r="F94" s="8" t="s">
        <v>59</v>
      </c>
    </row>
    <row r="95" spans="1:11" ht="15.75" customHeight="1" x14ac:dyDescent="0.25">
      <c r="A95" s="5" t="s">
        <v>60</v>
      </c>
      <c r="B95" s="5" t="s">
        <v>61</v>
      </c>
      <c r="C95" s="5" t="s">
        <v>62</v>
      </c>
      <c r="D95" s="5">
        <v>950</v>
      </c>
      <c r="E95" s="5">
        <v>25</v>
      </c>
      <c r="F95" s="5" t="s">
        <v>28</v>
      </c>
    </row>
    <row r="96" spans="1:11" ht="15.75" hidden="1" customHeight="1" x14ac:dyDescent="0.25">
      <c r="A96" s="8" t="s">
        <v>63</v>
      </c>
      <c r="B96" s="8" t="s">
        <v>30</v>
      </c>
      <c r="C96" s="8" t="s">
        <v>49</v>
      </c>
      <c r="D96" s="8">
        <v>90</v>
      </c>
      <c r="E96" s="8">
        <v>40</v>
      </c>
      <c r="F96" s="8"/>
    </row>
    <row r="97" spans="1:6" ht="15.75" hidden="1" customHeight="1" x14ac:dyDescent="0.25">
      <c r="A97" s="5" t="s">
        <v>64</v>
      </c>
      <c r="B97" s="5" t="s">
        <v>34</v>
      </c>
      <c r="C97" s="5" t="s">
        <v>65</v>
      </c>
      <c r="D97" s="5">
        <v>120</v>
      </c>
      <c r="E97" s="5">
        <v>35</v>
      </c>
      <c r="F97" s="5"/>
    </row>
    <row r="98" spans="1:6" ht="15.75" customHeight="1" x14ac:dyDescent="0.25">
      <c r="A98" s="8" t="s">
        <v>66</v>
      </c>
      <c r="B98" s="8" t="s">
        <v>67</v>
      </c>
      <c r="C98" s="8" t="s">
        <v>68</v>
      </c>
      <c r="D98" s="8">
        <v>150</v>
      </c>
      <c r="E98" s="8">
        <v>15</v>
      </c>
      <c r="F98" s="8" t="s">
        <v>46</v>
      </c>
    </row>
    <row r="99" spans="1:6" ht="15.75" customHeight="1" x14ac:dyDescent="0.25">
      <c r="A99" s="5" t="s">
        <v>69</v>
      </c>
      <c r="B99" s="5" t="s">
        <v>70</v>
      </c>
      <c r="C99" s="5" t="s">
        <v>71</v>
      </c>
      <c r="D99" s="5">
        <v>250</v>
      </c>
      <c r="E99" s="5">
        <v>20</v>
      </c>
      <c r="F99" s="5" t="s">
        <v>46</v>
      </c>
    </row>
    <row r="100" spans="1:6" ht="15.75" customHeight="1" x14ac:dyDescent="0.25">
      <c r="A100" s="8" t="s">
        <v>72</v>
      </c>
      <c r="B100" s="8" t="s">
        <v>73</v>
      </c>
      <c r="C100" s="8" t="s">
        <v>74</v>
      </c>
      <c r="D100" s="8">
        <v>50</v>
      </c>
      <c r="E100" s="8">
        <v>35</v>
      </c>
      <c r="F100" s="8" t="s">
        <v>75</v>
      </c>
    </row>
    <row r="101" spans="1:6" ht="15.75" customHeight="1" x14ac:dyDescent="0.25">
      <c r="A101" s="5" t="s">
        <v>76</v>
      </c>
      <c r="B101" s="5" t="s">
        <v>67</v>
      </c>
      <c r="C101" s="5" t="s">
        <v>77</v>
      </c>
      <c r="D101" s="5">
        <v>160</v>
      </c>
      <c r="E101" s="5">
        <v>15</v>
      </c>
      <c r="F101" s="5" t="s">
        <v>46</v>
      </c>
    </row>
    <row r="102" spans="1:6" ht="15.75" customHeight="1" x14ac:dyDescent="0.25">
      <c r="A102" s="8" t="s">
        <v>78</v>
      </c>
      <c r="B102" s="8" t="s">
        <v>26</v>
      </c>
      <c r="C102" s="8" t="s">
        <v>79</v>
      </c>
      <c r="D102" s="8">
        <v>980</v>
      </c>
      <c r="E102" s="8">
        <v>10</v>
      </c>
      <c r="F102" s="8" t="s">
        <v>28</v>
      </c>
    </row>
    <row r="103" spans="1:6" ht="15.75" customHeight="1" x14ac:dyDescent="0.25">
      <c r="A103" s="5" t="s">
        <v>80</v>
      </c>
      <c r="B103" s="5" t="s">
        <v>81</v>
      </c>
      <c r="C103" s="5" t="s">
        <v>82</v>
      </c>
      <c r="D103" s="5">
        <v>150</v>
      </c>
      <c r="E103" s="5">
        <v>15</v>
      </c>
      <c r="F103" s="5" t="s">
        <v>32</v>
      </c>
    </row>
    <row r="104" spans="1:6" ht="15.75" customHeight="1" x14ac:dyDescent="0.25">
      <c r="A104" s="8" t="s">
        <v>83</v>
      </c>
      <c r="B104" s="8" t="s">
        <v>84</v>
      </c>
      <c r="C104" s="8" t="s">
        <v>85</v>
      </c>
      <c r="D104" s="14">
        <f>AVERAGE(D99:D103)</f>
        <v>318</v>
      </c>
      <c r="E104" s="8">
        <v>10</v>
      </c>
      <c r="F104" s="8" t="s">
        <v>59</v>
      </c>
    </row>
    <row r="105" spans="1:6" ht="15.75" customHeight="1" x14ac:dyDescent="0.25">
      <c r="A105" s="5" t="s">
        <v>86</v>
      </c>
      <c r="B105" s="5" t="s">
        <v>87</v>
      </c>
      <c r="C105" s="5" t="s">
        <v>88</v>
      </c>
      <c r="D105" s="5">
        <v>700</v>
      </c>
      <c r="E105" s="5">
        <v>50</v>
      </c>
      <c r="F105" s="5" t="s">
        <v>28</v>
      </c>
    </row>
    <row r="106" spans="1:6" ht="15.75" customHeight="1" x14ac:dyDescent="0.25">
      <c r="A106" s="8" t="s">
        <v>89</v>
      </c>
      <c r="B106" s="8" t="s">
        <v>90</v>
      </c>
      <c r="C106" s="8" t="s">
        <v>91</v>
      </c>
      <c r="D106" s="8">
        <v>80</v>
      </c>
      <c r="E106" s="8">
        <v>20</v>
      </c>
      <c r="F106" s="8" t="s">
        <v>36</v>
      </c>
    </row>
    <row r="107" spans="1:6" ht="15.75" hidden="1" customHeight="1" x14ac:dyDescent="0.25">
      <c r="A107" s="5" t="s">
        <v>92</v>
      </c>
      <c r="B107" s="5" t="s">
        <v>93</v>
      </c>
      <c r="C107" s="5" t="s">
        <v>94</v>
      </c>
      <c r="D107" s="5">
        <v>150</v>
      </c>
      <c r="E107" s="5">
        <v>30</v>
      </c>
      <c r="F107" s="5"/>
    </row>
    <row r="108" spans="1:6" ht="15.75" customHeight="1" x14ac:dyDescent="0.25">
      <c r="A108" s="8" t="s">
        <v>72</v>
      </c>
      <c r="B108" s="8" t="s">
        <v>73</v>
      </c>
      <c r="C108" s="8" t="s">
        <v>74</v>
      </c>
      <c r="D108" s="8">
        <v>50</v>
      </c>
      <c r="E108" s="8">
        <v>35</v>
      </c>
      <c r="F108" s="8" t="s">
        <v>75</v>
      </c>
    </row>
    <row r="109" spans="1:6" ht="15.75" customHeight="1" x14ac:dyDescent="0.25">
      <c r="A109" s="5" t="s">
        <v>95</v>
      </c>
      <c r="B109" s="5" t="s">
        <v>96</v>
      </c>
      <c r="C109" s="5" t="s">
        <v>97</v>
      </c>
      <c r="D109" s="5">
        <v>800</v>
      </c>
      <c r="E109" s="5">
        <v>45</v>
      </c>
      <c r="F109" s="5" t="s">
        <v>28</v>
      </c>
    </row>
    <row r="110" spans="1:6" ht="15.75" customHeight="1" x14ac:dyDescent="0.25">
      <c r="A110" s="8" t="s">
        <v>98</v>
      </c>
      <c r="B110" s="8" t="s">
        <v>81</v>
      </c>
      <c r="C110" s="8" t="s">
        <v>99</v>
      </c>
      <c r="D110" s="14">
        <f>AVERAGE(D105:D109)</f>
        <v>356</v>
      </c>
      <c r="E110" s="8">
        <v>25</v>
      </c>
      <c r="F110" s="8" t="s">
        <v>32</v>
      </c>
    </row>
    <row r="111" spans="1:6" ht="15.75" customHeight="1" x14ac:dyDescent="0.25">
      <c r="A111" s="5" t="s">
        <v>100</v>
      </c>
      <c r="B111" s="5" t="s">
        <v>51</v>
      </c>
      <c r="C111" s="5" t="s">
        <v>101</v>
      </c>
      <c r="D111" s="5">
        <v>400</v>
      </c>
      <c r="E111" s="5">
        <v>40</v>
      </c>
      <c r="F111" s="5" t="s">
        <v>36</v>
      </c>
    </row>
    <row r="112" spans="1:6" ht="15.75" customHeight="1" x14ac:dyDescent="0.25">
      <c r="A112" s="8" t="s">
        <v>69</v>
      </c>
      <c r="B112" s="8" t="s">
        <v>70</v>
      </c>
      <c r="C112" s="8" t="s">
        <v>71</v>
      </c>
      <c r="D112" s="8">
        <v>250</v>
      </c>
      <c r="E112" s="8">
        <v>20</v>
      </c>
      <c r="F112" s="8" t="s">
        <v>46</v>
      </c>
    </row>
    <row r="113" spans="1:7" ht="15.75" customHeight="1" x14ac:dyDescent="0.25">
      <c r="A113" s="5" t="s">
        <v>102</v>
      </c>
      <c r="B113" s="5" t="s">
        <v>103</v>
      </c>
      <c r="C113" s="5" t="s">
        <v>104</v>
      </c>
      <c r="D113" s="5">
        <v>60</v>
      </c>
      <c r="E113" s="5">
        <v>30</v>
      </c>
      <c r="F113" s="5" t="s">
        <v>32</v>
      </c>
    </row>
    <row r="114" spans="1:7" ht="15.75" customHeight="1" x14ac:dyDescent="0.25">
      <c r="A114" s="8" t="s">
        <v>105</v>
      </c>
      <c r="B114" s="8" t="s">
        <v>106</v>
      </c>
      <c r="C114" s="8" t="s">
        <v>107</v>
      </c>
      <c r="D114" s="8">
        <v>40</v>
      </c>
      <c r="E114" s="8">
        <v>10</v>
      </c>
      <c r="F114" s="8" t="s">
        <v>36</v>
      </c>
    </row>
    <row r="115" spans="1:7" ht="15.75" customHeight="1" x14ac:dyDescent="0.25">
      <c r="A115" s="5" t="s">
        <v>108</v>
      </c>
      <c r="B115" s="5" t="s">
        <v>93</v>
      </c>
      <c r="C115" s="5" t="s">
        <v>109</v>
      </c>
      <c r="D115" s="5">
        <v>130</v>
      </c>
      <c r="E115" s="5">
        <v>5</v>
      </c>
      <c r="F115" s="5" t="s">
        <v>28</v>
      </c>
    </row>
    <row r="116" spans="1:7" ht="15.75" customHeight="1" x14ac:dyDescent="0.25">
      <c r="A116" s="8" t="s">
        <v>110</v>
      </c>
      <c r="B116" s="8" t="s">
        <v>111</v>
      </c>
      <c r="C116" s="8" t="s">
        <v>112</v>
      </c>
      <c r="D116" s="8">
        <v>50</v>
      </c>
      <c r="E116" s="8">
        <v>50</v>
      </c>
      <c r="F116" s="8" t="s">
        <v>32</v>
      </c>
    </row>
    <row r="117" spans="1:7" ht="15.75" customHeight="1" x14ac:dyDescent="0.25">
      <c r="A117" s="5" t="s">
        <v>60</v>
      </c>
      <c r="B117" s="5" t="s">
        <v>61</v>
      </c>
      <c r="C117" s="5" t="s">
        <v>62</v>
      </c>
      <c r="D117" s="5">
        <v>950</v>
      </c>
      <c r="E117" s="5">
        <v>25</v>
      </c>
      <c r="F117" s="5" t="s">
        <v>28</v>
      </c>
    </row>
    <row r="118" spans="1:7" ht="15.75" customHeight="1" x14ac:dyDescent="0.25">
      <c r="A118" s="8" t="s">
        <v>113</v>
      </c>
      <c r="B118" s="8" t="s">
        <v>114</v>
      </c>
      <c r="C118" s="8" t="s">
        <v>115</v>
      </c>
      <c r="D118" s="8">
        <v>100</v>
      </c>
      <c r="E118" s="8">
        <v>20</v>
      </c>
      <c r="F118" s="8" t="s">
        <v>75</v>
      </c>
    </row>
    <row r="119" spans="1:7" ht="15.75" customHeight="1" x14ac:dyDescent="0.25"/>
    <row r="120" spans="1:7" ht="15.75" customHeight="1" x14ac:dyDescent="0.25"/>
    <row r="121" spans="1:7" ht="15.75" customHeight="1" x14ac:dyDescent="0.25"/>
    <row r="122" spans="1:7" ht="15.75" customHeight="1" x14ac:dyDescent="0.3">
      <c r="A122" s="2" t="s">
        <v>4</v>
      </c>
    </row>
    <row r="123" spans="1:7" ht="15.75" customHeight="1" x14ac:dyDescent="0.25"/>
    <row r="124" spans="1:7" ht="15.75" customHeight="1" x14ac:dyDescent="0.3">
      <c r="A124" s="35" t="s">
        <v>5</v>
      </c>
      <c r="B124" s="35"/>
      <c r="C124" s="35"/>
      <c r="D124" s="35"/>
    </row>
    <row r="125" spans="1:7" ht="15.75" customHeight="1" x14ac:dyDescent="0.25"/>
    <row r="126" spans="1:7" ht="15.75" customHeight="1" x14ac:dyDescent="0.25">
      <c r="A126" s="7" t="s">
        <v>19</v>
      </c>
      <c r="B126" s="7" t="s">
        <v>20</v>
      </c>
      <c r="C126" s="7" t="s">
        <v>21</v>
      </c>
      <c r="D126" s="7" t="s">
        <v>22</v>
      </c>
      <c r="E126" s="7" t="s">
        <v>23</v>
      </c>
      <c r="F126" s="7" t="s">
        <v>24</v>
      </c>
      <c r="G126" s="17" t="s">
        <v>119</v>
      </c>
    </row>
    <row r="127" spans="1:7" ht="15.75" customHeight="1" x14ac:dyDescent="0.25">
      <c r="A127" s="5" t="s">
        <v>25</v>
      </c>
      <c r="B127" s="36" t="s">
        <v>26</v>
      </c>
      <c r="C127" s="5" t="s">
        <v>27</v>
      </c>
      <c r="D127" s="5">
        <v>1000</v>
      </c>
      <c r="E127" s="5">
        <v>30</v>
      </c>
      <c r="F127" s="5" t="s">
        <v>28</v>
      </c>
      <c r="G127" t="str" cm="1">
        <f t="array" ref="G127:G160">PROPER(B127:B160)</f>
        <v>Laptop</v>
      </c>
    </row>
    <row r="128" spans="1:7" ht="15.75" customHeight="1" x14ac:dyDescent="0.25">
      <c r="A128" s="8" t="s">
        <v>29</v>
      </c>
      <c r="B128" s="8" t="s">
        <v>30</v>
      </c>
      <c r="C128" s="8" t="s">
        <v>31</v>
      </c>
      <c r="D128" s="8">
        <v>80</v>
      </c>
      <c r="E128" s="8">
        <v>15</v>
      </c>
      <c r="F128" s="8" t="s">
        <v>32</v>
      </c>
      <c r="G128" t="str">
        <v>Sneakers</v>
      </c>
    </row>
    <row r="129" spans="1:11" ht="15.75" customHeight="1" x14ac:dyDescent="0.25">
      <c r="A129" s="5" t="s">
        <v>33</v>
      </c>
      <c r="B129" s="5" t="s">
        <v>34</v>
      </c>
      <c r="C129" s="5" t="s">
        <v>35</v>
      </c>
      <c r="D129" s="5">
        <v>130</v>
      </c>
      <c r="E129" s="5">
        <v>40</v>
      </c>
      <c r="F129" s="5" t="s">
        <v>36</v>
      </c>
      <c r="G129" t="str">
        <v>Coffee Maker</v>
      </c>
      <c r="I129" s="31" t="s">
        <v>120</v>
      </c>
      <c r="J129" s="31"/>
      <c r="K129" s="31"/>
    </row>
    <row r="130" spans="1:11" ht="15.75" customHeight="1" x14ac:dyDescent="0.25">
      <c r="A130" s="8" t="s">
        <v>37</v>
      </c>
      <c r="B130" s="8" t="s">
        <v>38</v>
      </c>
      <c r="C130" s="8" t="s">
        <v>39</v>
      </c>
      <c r="D130" s="8">
        <v>900</v>
      </c>
      <c r="E130" s="8">
        <v>25</v>
      </c>
      <c r="F130" s="8" t="s">
        <v>28</v>
      </c>
      <c r="G130" t="str">
        <v>Smartphone</v>
      </c>
    </row>
    <row r="131" spans="1:11" ht="15.75" customHeight="1" x14ac:dyDescent="0.25">
      <c r="A131" s="5" t="s">
        <v>40</v>
      </c>
      <c r="B131" s="5" t="s">
        <v>41</v>
      </c>
      <c r="C131" s="5" t="s">
        <v>42</v>
      </c>
      <c r="D131" s="5">
        <v>70</v>
      </c>
      <c r="E131" s="5">
        <v>20</v>
      </c>
      <c r="F131" s="5"/>
      <c r="G131" t="str">
        <v>Backpack</v>
      </c>
    </row>
    <row r="132" spans="1:11" ht="15.75" customHeight="1" x14ac:dyDescent="0.25">
      <c r="A132" s="8" t="s">
        <v>43</v>
      </c>
      <c r="B132" s="8" t="s">
        <v>44</v>
      </c>
      <c r="C132" s="8" t="s">
        <v>45</v>
      </c>
      <c r="D132" s="8"/>
      <c r="E132" s="8">
        <v>45</v>
      </c>
      <c r="F132" s="8" t="s">
        <v>46</v>
      </c>
      <c r="G132" t="str">
        <v>Headphones</v>
      </c>
    </row>
    <row r="133" spans="1:11" ht="15.75" customHeight="1" x14ac:dyDescent="0.25">
      <c r="A133" s="5" t="s">
        <v>47</v>
      </c>
      <c r="B133" s="5" t="s">
        <v>48</v>
      </c>
      <c r="C133" s="5" t="s">
        <v>49</v>
      </c>
      <c r="D133" s="5">
        <v>30</v>
      </c>
      <c r="E133" s="5">
        <v>5</v>
      </c>
      <c r="F133" s="5" t="s">
        <v>32</v>
      </c>
      <c r="G133" t="str">
        <v>T-Shirt</v>
      </c>
    </row>
    <row r="134" spans="1:11" ht="15.75" customHeight="1" x14ac:dyDescent="0.25">
      <c r="A134" s="8" t="s">
        <v>50</v>
      </c>
      <c r="B134" s="8" t="s">
        <v>51</v>
      </c>
      <c r="C134" s="8" t="s">
        <v>52</v>
      </c>
      <c r="D134" s="8">
        <v>90</v>
      </c>
      <c r="E134" s="8">
        <v>35</v>
      </c>
      <c r="F134" s="8" t="s">
        <v>36</v>
      </c>
      <c r="G134" t="str">
        <v>Blender</v>
      </c>
    </row>
    <row r="135" spans="1:11" ht="15.75" customHeight="1" x14ac:dyDescent="0.25">
      <c r="A135" s="5" t="s">
        <v>53</v>
      </c>
      <c r="B135" s="5" t="s">
        <v>54</v>
      </c>
      <c r="C135" s="5" t="s">
        <v>55</v>
      </c>
      <c r="D135" s="5">
        <v>500</v>
      </c>
      <c r="E135" s="5">
        <v>50</v>
      </c>
      <c r="F135" s="5" t="s">
        <v>28</v>
      </c>
      <c r="G135" t="str">
        <v>Tablet</v>
      </c>
    </row>
    <row r="136" spans="1:11" ht="15.75" customHeight="1" x14ac:dyDescent="0.25">
      <c r="A136" s="8" t="s">
        <v>56</v>
      </c>
      <c r="B136" s="8" t="s">
        <v>57</v>
      </c>
      <c r="C136" s="8" t="s">
        <v>58</v>
      </c>
      <c r="D136" s="8">
        <v>130</v>
      </c>
      <c r="E136" s="8">
        <v>10</v>
      </c>
      <c r="F136" s="8" t="s">
        <v>59</v>
      </c>
      <c r="G136" t="str">
        <v>Hiking Boots</v>
      </c>
    </row>
    <row r="137" spans="1:11" ht="15.75" customHeight="1" x14ac:dyDescent="0.25">
      <c r="A137" s="5" t="s">
        <v>60</v>
      </c>
      <c r="B137" s="5" t="s">
        <v>61</v>
      </c>
      <c r="C137" s="5" t="s">
        <v>62</v>
      </c>
      <c r="D137" s="5">
        <v>950</v>
      </c>
      <c r="E137" s="5">
        <v>25</v>
      </c>
      <c r="F137" s="5" t="s">
        <v>28</v>
      </c>
      <c r="G137" t="str">
        <v>Laptop</v>
      </c>
    </row>
    <row r="138" spans="1:11" ht="15.75" customHeight="1" x14ac:dyDescent="0.25">
      <c r="A138" s="8" t="s">
        <v>63</v>
      </c>
      <c r="B138" s="8" t="s">
        <v>30</v>
      </c>
      <c r="C138" s="8" t="s">
        <v>49</v>
      </c>
      <c r="D138" s="8">
        <v>90</v>
      </c>
      <c r="E138" s="8">
        <v>40</v>
      </c>
      <c r="F138" s="8"/>
      <c r="G138" t="str">
        <v>Sneakers</v>
      </c>
    </row>
    <row r="139" spans="1:11" ht="15.75" customHeight="1" x14ac:dyDescent="0.25">
      <c r="A139" s="5" t="s">
        <v>64</v>
      </c>
      <c r="B139" s="5" t="s">
        <v>34</v>
      </c>
      <c r="C139" s="5" t="s">
        <v>65</v>
      </c>
      <c r="D139" s="5">
        <v>120</v>
      </c>
      <c r="E139" s="5">
        <v>35</v>
      </c>
      <c r="F139" s="5"/>
      <c r="G139" t="str">
        <v>Coffee Maker</v>
      </c>
    </row>
    <row r="140" spans="1:11" ht="15.75" customHeight="1" x14ac:dyDescent="0.25">
      <c r="A140" s="8" t="s">
        <v>66</v>
      </c>
      <c r="B140" s="8" t="s">
        <v>67</v>
      </c>
      <c r="C140" s="8" t="s">
        <v>68</v>
      </c>
      <c r="D140" s="8">
        <v>150</v>
      </c>
      <c r="E140" s="8">
        <v>15</v>
      </c>
      <c r="F140" s="8" t="s">
        <v>46</v>
      </c>
      <c r="G140" t="str">
        <v>Smartwatch</v>
      </c>
    </row>
    <row r="141" spans="1:11" ht="15.75" customHeight="1" x14ac:dyDescent="0.25">
      <c r="A141" s="5" t="s">
        <v>69</v>
      </c>
      <c r="B141" s="5" t="s">
        <v>70</v>
      </c>
      <c r="C141" s="5" t="s">
        <v>71</v>
      </c>
      <c r="D141" s="5">
        <v>250</v>
      </c>
      <c r="E141" s="5">
        <v>20</v>
      </c>
      <c r="F141" s="5" t="s">
        <v>46</v>
      </c>
      <c r="G141" t="str">
        <v>Headphones</v>
      </c>
    </row>
    <row r="142" spans="1:11" ht="15.75" customHeight="1" x14ac:dyDescent="0.25">
      <c r="A142" s="8" t="s">
        <v>72</v>
      </c>
      <c r="B142" s="8" t="s">
        <v>73</v>
      </c>
      <c r="C142" s="8" t="s">
        <v>74</v>
      </c>
      <c r="D142" s="8">
        <v>50</v>
      </c>
      <c r="E142" s="8">
        <v>35</v>
      </c>
      <c r="F142" s="8" t="s">
        <v>75</v>
      </c>
      <c r="G142" t="str">
        <v>Laptop Bag</v>
      </c>
    </row>
    <row r="143" spans="1:11" ht="15.75" customHeight="1" x14ac:dyDescent="0.25">
      <c r="A143" s="5" t="s">
        <v>76</v>
      </c>
      <c r="B143" s="5" t="s">
        <v>67</v>
      </c>
      <c r="C143" s="5" t="s">
        <v>77</v>
      </c>
      <c r="D143" s="5">
        <v>160</v>
      </c>
      <c r="E143" s="5">
        <v>15</v>
      </c>
      <c r="F143" s="5" t="s">
        <v>46</v>
      </c>
      <c r="G143" t="str">
        <v>Smartwatch</v>
      </c>
    </row>
    <row r="144" spans="1:11" ht="15.75" customHeight="1" x14ac:dyDescent="0.25">
      <c r="A144" s="8" t="s">
        <v>78</v>
      </c>
      <c r="B144" s="8" t="s">
        <v>26</v>
      </c>
      <c r="C144" s="8" t="s">
        <v>79</v>
      </c>
      <c r="D144" s="8">
        <v>980</v>
      </c>
      <c r="E144" s="8">
        <v>10</v>
      </c>
      <c r="F144" s="8" t="s">
        <v>28</v>
      </c>
      <c r="G144" t="str">
        <v>Laptop</v>
      </c>
    </row>
    <row r="145" spans="1:7" ht="15.75" customHeight="1" x14ac:dyDescent="0.25">
      <c r="A145" s="5" t="s">
        <v>80</v>
      </c>
      <c r="B145" s="5" t="s">
        <v>81</v>
      </c>
      <c r="C145" s="5" t="s">
        <v>82</v>
      </c>
      <c r="D145" s="5">
        <v>150</v>
      </c>
      <c r="E145" s="5">
        <v>15</v>
      </c>
      <c r="F145" s="5" t="s">
        <v>32</v>
      </c>
      <c r="G145" t="str">
        <v>Sunglasses</v>
      </c>
    </row>
    <row r="146" spans="1:7" ht="15.75" customHeight="1" x14ac:dyDescent="0.25">
      <c r="A146" s="8" t="s">
        <v>83</v>
      </c>
      <c r="B146" s="8" t="s">
        <v>84</v>
      </c>
      <c r="C146" s="8" t="s">
        <v>85</v>
      </c>
      <c r="D146" s="8"/>
      <c r="E146" s="8">
        <v>10</v>
      </c>
      <c r="F146" s="8" t="s">
        <v>59</v>
      </c>
      <c r="G146" t="str">
        <v>Camping Tent</v>
      </c>
    </row>
    <row r="147" spans="1:7" ht="15.75" customHeight="1" x14ac:dyDescent="0.25">
      <c r="A147" s="5" t="s">
        <v>86</v>
      </c>
      <c r="B147" s="5" t="s">
        <v>87</v>
      </c>
      <c r="C147" s="5" t="s">
        <v>88</v>
      </c>
      <c r="D147" s="5">
        <v>700</v>
      </c>
      <c r="E147" s="5">
        <v>50</v>
      </c>
      <c r="F147" s="5" t="s">
        <v>28</v>
      </c>
      <c r="G147" t="str">
        <v>Camera</v>
      </c>
    </row>
    <row r="148" spans="1:7" ht="15.75" customHeight="1" x14ac:dyDescent="0.25">
      <c r="A148" s="8" t="s">
        <v>89</v>
      </c>
      <c r="B148" s="8" t="s">
        <v>90</v>
      </c>
      <c r="C148" s="8" t="s">
        <v>91</v>
      </c>
      <c r="D148" s="8">
        <v>80</v>
      </c>
      <c r="E148" s="8">
        <v>20</v>
      </c>
      <c r="F148" s="8" t="s">
        <v>36</v>
      </c>
      <c r="G148" t="str">
        <v>Microwave</v>
      </c>
    </row>
    <row r="149" spans="1:7" ht="15.75" customHeight="1" x14ac:dyDescent="0.25">
      <c r="A149" s="5" t="s">
        <v>92</v>
      </c>
      <c r="B149" s="5" t="s">
        <v>93</v>
      </c>
      <c r="C149" s="5" t="s">
        <v>94</v>
      </c>
      <c r="D149" s="5">
        <v>150</v>
      </c>
      <c r="E149" s="5">
        <v>30</v>
      </c>
      <c r="F149" s="5"/>
      <c r="G149" t="str">
        <v>Fitness Tracker</v>
      </c>
    </row>
    <row r="150" spans="1:7" ht="15.75" customHeight="1" x14ac:dyDescent="0.25">
      <c r="A150" s="8" t="s">
        <v>72</v>
      </c>
      <c r="B150" s="8" t="s">
        <v>73</v>
      </c>
      <c r="C150" s="8" t="s">
        <v>74</v>
      </c>
      <c r="D150" s="8">
        <v>50</v>
      </c>
      <c r="E150" s="8">
        <v>35</v>
      </c>
      <c r="F150" s="8" t="s">
        <v>75</v>
      </c>
      <c r="G150" t="str">
        <v>Laptop Bag</v>
      </c>
    </row>
    <row r="151" spans="1:7" ht="15.75" customHeight="1" x14ac:dyDescent="0.25">
      <c r="A151" s="5" t="s">
        <v>95</v>
      </c>
      <c r="B151" s="5" t="s">
        <v>96</v>
      </c>
      <c r="C151" s="5" t="s">
        <v>97</v>
      </c>
      <c r="D151" s="5">
        <v>800</v>
      </c>
      <c r="E151" s="5">
        <v>45</v>
      </c>
      <c r="F151" s="5" t="s">
        <v>28</v>
      </c>
      <c r="G151" t="str">
        <v>Smartphone</v>
      </c>
    </row>
    <row r="152" spans="1:7" ht="15.75" customHeight="1" x14ac:dyDescent="0.25">
      <c r="A152" s="8" t="s">
        <v>98</v>
      </c>
      <c r="B152" s="8" t="s">
        <v>81</v>
      </c>
      <c r="C152" s="8" t="s">
        <v>99</v>
      </c>
      <c r="D152" s="8"/>
      <c r="E152" s="8">
        <v>25</v>
      </c>
      <c r="F152" s="8" t="s">
        <v>32</v>
      </c>
      <c r="G152" t="str">
        <v>Sunglasses</v>
      </c>
    </row>
    <row r="153" spans="1:7" ht="15.75" customHeight="1" x14ac:dyDescent="0.25">
      <c r="A153" s="5" t="s">
        <v>100</v>
      </c>
      <c r="B153" s="5" t="s">
        <v>51</v>
      </c>
      <c r="C153" s="5" t="s">
        <v>101</v>
      </c>
      <c r="D153" s="5">
        <v>400</v>
      </c>
      <c r="E153" s="5">
        <v>40</v>
      </c>
      <c r="F153" s="5" t="s">
        <v>36</v>
      </c>
      <c r="G153" t="str">
        <v>Blender</v>
      </c>
    </row>
    <row r="154" spans="1:7" ht="15.75" customHeight="1" x14ac:dyDescent="0.25">
      <c r="A154" s="8" t="s">
        <v>69</v>
      </c>
      <c r="B154" s="8" t="s">
        <v>70</v>
      </c>
      <c r="C154" s="8" t="s">
        <v>71</v>
      </c>
      <c r="D154" s="8">
        <v>250</v>
      </c>
      <c r="E154" s="8">
        <v>20</v>
      </c>
      <c r="F154" s="8" t="s">
        <v>46</v>
      </c>
      <c r="G154" t="str">
        <v>Headphones</v>
      </c>
    </row>
    <row r="155" spans="1:7" ht="15.75" customHeight="1" x14ac:dyDescent="0.25">
      <c r="A155" s="5" t="s">
        <v>102</v>
      </c>
      <c r="B155" s="5" t="s">
        <v>103</v>
      </c>
      <c r="C155" s="5" t="s">
        <v>104</v>
      </c>
      <c r="D155" s="5">
        <v>60</v>
      </c>
      <c r="E155" s="5">
        <v>30</v>
      </c>
      <c r="F155" s="5" t="s">
        <v>32</v>
      </c>
      <c r="G155" t="str">
        <v>Dress</v>
      </c>
    </row>
    <row r="156" spans="1:7" ht="15.75" customHeight="1" x14ac:dyDescent="0.25">
      <c r="A156" s="8" t="s">
        <v>105</v>
      </c>
      <c r="B156" s="8" t="s">
        <v>106</v>
      </c>
      <c r="C156" s="8" t="s">
        <v>107</v>
      </c>
      <c r="D156" s="8">
        <v>40</v>
      </c>
      <c r="E156" s="8">
        <v>10</v>
      </c>
      <c r="F156" s="8" t="s">
        <v>36</v>
      </c>
      <c r="G156" t="str">
        <v>Toaster</v>
      </c>
    </row>
    <row r="157" spans="1:7" ht="15.75" customHeight="1" x14ac:dyDescent="0.25">
      <c r="A157" s="5" t="s">
        <v>108</v>
      </c>
      <c r="B157" s="5" t="s">
        <v>93</v>
      </c>
      <c r="C157" s="5" t="s">
        <v>109</v>
      </c>
      <c r="D157" s="5">
        <v>130</v>
      </c>
      <c r="E157" s="5">
        <v>5</v>
      </c>
      <c r="F157" s="5" t="s">
        <v>28</v>
      </c>
      <c r="G157" t="str">
        <v>Fitness Tracker</v>
      </c>
    </row>
    <row r="158" spans="1:7" ht="15.75" customHeight="1" x14ac:dyDescent="0.25">
      <c r="A158" s="8" t="s">
        <v>110</v>
      </c>
      <c r="B158" s="8" t="s">
        <v>111</v>
      </c>
      <c r="C158" s="8" t="s">
        <v>112</v>
      </c>
      <c r="D158" s="8">
        <v>50</v>
      </c>
      <c r="E158" s="8">
        <v>50</v>
      </c>
      <c r="F158" s="8" t="s">
        <v>32</v>
      </c>
      <c r="G158" t="str">
        <v>Jeans</v>
      </c>
    </row>
    <row r="159" spans="1:7" ht="15.75" customHeight="1" x14ac:dyDescent="0.25">
      <c r="A159" s="5" t="s">
        <v>60</v>
      </c>
      <c r="B159" s="5" t="s">
        <v>61</v>
      </c>
      <c r="C159" s="5" t="s">
        <v>62</v>
      </c>
      <c r="D159" s="5">
        <v>950</v>
      </c>
      <c r="E159" s="5">
        <v>25</v>
      </c>
      <c r="F159" s="5" t="s">
        <v>28</v>
      </c>
      <c r="G159" t="str">
        <v>Laptop</v>
      </c>
    </row>
    <row r="160" spans="1:7" ht="15.75" customHeight="1" x14ac:dyDescent="0.25">
      <c r="A160" s="8" t="s">
        <v>113</v>
      </c>
      <c r="B160" s="8" t="s">
        <v>114</v>
      </c>
      <c r="C160" s="8" t="s">
        <v>115</v>
      </c>
      <c r="D160" s="8">
        <v>100</v>
      </c>
      <c r="E160" s="8">
        <v>20</v>
      </c>
      <c r="F160" s="8" t="s">
        <v>75</v>
      </c>
      <c r="G160" t="str">
        <v>Watch</v>
      </c>
    </row>
    <row r="161" spans="1:16" ht="15.75" customHeight="1" x14ac:dyDescent="0.25"/>
    <row r="162" spans="1:16" ht="15.75" customHeight="1" x14ac:dyDescent="0.25"/>
    <row r="163" spans="1:16" ht="15.75" customHeight="1" x14ac:dyDescent="0.3">
      <c r="A163" s="18" t="s">
        <v>6</v>
      </c>
      <c r="B163" s="19"/>
      <c r="C163" s="19"/>
    </row>
    <row r="164" spans="1:16" ht="15.75" customHeight="1" x14ac:dyDescent="0.25"/>
    <row r="165" spans="1:16" ht="15.75" customHeight="1" x14ac:dyDescent="0.25">
      <c r="A165" s="7" t="s">
        <v>19</v>
      </c>
      <c r="B165" s="7" t="s">
        <v>20</v>
      </c>
      <c r="C165" s="7" t="s">
        <v>21</v>
      </c>
      <c r="D165" s="7" t="s">
        <v>22</v>
      </c>
      <c r="E165" s="7" t="s">
        <v>23</v>
      </c>
      <c r="F165" s="7" t="s">
        <v>24</v>
      </c>
    </row>
    <row r="166" spans="1:16" ht="15.75" customHeight="1" x14ac:dyDescent="0.25">
      <c r="A166" s="5" t="s">
        <v>25</v>
      </c>
      <c r="B166" s="5" t="s">
        <v>26</v>
      </c>
      <c r="C166" s="5" t="s">
        <v>27</v>
      </c>
      <c r="D166" s="5">
        <v>1000</v>
      </c>
      <c r="E166" s="5">
        <v>30</v>
      </c>
      <c r="F166" s="5" t="s">
        <v>28</v>
      </c>
      <c r="H166" s="5"/>
    </row>
    <row r="167" spans="1:16" ht="15.75" customHeight="1" x14ac:dyDescent="0.25">
      <c r="A167" s="8" t="s">
        <v>29</v>
      </c>
      <c r="B167" s="8" t="s">
        <v>30</v>
      </c>
      <c r="C167" s="8" t="s">
        <v>31</v>
      </c>
      <c r="D167" s="8">
        <v>80</v>
      </c>
      <c r="E167" s="8">
        <v>15</v>
      </c>
      <c r="F167" s="8" t="s">
        <v>32</v>
      </c>
    </row>
    <row r="168" spans="1:16" ht="15.75" customHeight="1" x14ac:dyDescent="0.25">
      <c r="A168" s="5" t="s">
        <v>33</v>
      </c>
      <c r="B168" s="5" t="s">
        <v>34</v>
      </c>
      <c r="C168" s="5" t="s">
        <v>35</v>
      </c>
      <c r="D168" s="5">
        <v>130</v>
      </c>
      <c r="E168" s="5">
        <v>40</v>
      </c>
      <c r="F168" s="5" t="s">
        <v>36</v>
      </c>
    </row>
    <row r="169" spans="1:16" ht="15.75" customHeight="1" x14ac:dyDescent="0.25">
      <c r="A169" s="8" t="s">
        <v>37</v>
      </c>
      <c r="B169" s="8" t="s">
        <v>38</v>
      </c>
      <c r="C169" s="8" t="s">
        <v>39</v>
      </c>
      <c r="D169" s="8">
        <v>900</v>
      </c>
      <c r="E169" s="8">
        <v>25</v>
      </c>
      <c r="F169" s="8" t="s">
        <v>28</v>
      </c>
    </row>
    <row r="170" spans="1:16" ht="15.75" customHeight="1" x14ac:dyDescent="0.25">
      <c r="A170" s="5" t="s">
        <v>40</v>
      </c>
      <c r="B170" s="5" t="s">
        <v>41</v>
      </c>
      <c r="C170" s="5" t="s">
        <v>42</v>
      </c>
      <c r="D170" s="5">
        <v>70</v>
      </c>
      <c r="E170" s="5">
        <v>20</v>
      </c>
      <c r="F170" s="5"/>
    </row>
    <row r="171" spans="1:16" ht="15.75" customHeight="1" x14ac:dyDescent="0.25">
      <c r="A171" s="8" t="s">
        <v>43</v>
      </c>
      <c r="B171" s="8" t="s">
        <v>44</v>
      </c>
      <c r="C171" s="8" t="s">
        <v>45</v>
      </c>
      <c r="D171" s="14">
        <f>AVERAGE(D166:D170)</f>
        <v>436</v>
      </c>
      <c r="E171" s="8">
        <v>45</v>
      </c>
      <c r="F171" s="20" t="s">
        <v>46</v>
      </c>
    </row>
    <row r="172" spans="1:16" ht="15.75" customHeight="1" x14ac:dyDescent="0.25">
      <c r="A172" s="5" t="s">
        <v>47</v>
      </c>
      <c r="B172" s="5" t="s">
        <v>48</v>
      </c>
      <c r="C172" s="5" t="s">
        <v>49</v>
      </c>
      <c r="D172" s="5">
        <v>30</v>
      </c>
      <c r="E172" s="5">
        <v>5</v>
      </c>
      <c r="F172" s="5" t="s">
        <v>32</v>
      </c>
      <c r="I172" s="31" t="s">
        <v>121</v>
      </c>
      <c r="J172" s="31"/>
      <c r="K172" s="31"/>
      <c r="L172" s="31"/>
      <c r="M172" s="31"/>
      <c r="N172" s="31"/>
      <c r="O172" s="31"/>
      <c r="P172" s="31"/>
    </row>
    <row r="173" spans="1:16" ht="15.75" customHeight="1" x14ac:dyDescent="0.25">
      <c r="A173" s="8" t="s">
        <v>50</v>
      </c>
      <c r="B173" s="8" t="s">
        <v>51</v>
      </c>
      <c r="C173" s="8" t="s">
        <v>52</v>
      </c>
      <c r="D173" s="8">
        <v>90</v>
      </c>
      <c r="E173" s="8">
        <v>35</v>
      </c>
      <c r="F173" s="8" t="s">
        <v>36</v>
      </c>
    </row>
    <row r="174" spans="1:16" ht="15.75" customHeight="1" x14ac:dyDescent="0.25">
      <c r="A174" s="5" t="s">
        <v>53</v>
      </c>
      <c r="B174" s="5" t="s">
        <v>54</v>
      </c>
      <c r="C174" s="5" t="s">
        <v>55</v>
      </c>
      <c r="D174" s="5">
        <v>500</v>
      </c>
      <c r="E174" s="5">
        <v>50</v>
      </c>
      <c r="F174" s="5" t="s">
        <v>28</v>
      </c>
    </row>
    <row r="175" spans="1:16" ht="15.75" customHeight="1" x14ac:dyDescent="0.25">
      <c r="A175" s="8" t="s">
        <v>56</v>
      </c>
      <c r="B175" s="8" t="s">
        <v>57</v>
      </c>
      <c r="C175" s="8" t="s">
        <v>58</v>
      </c>
      <c r="D175" s="8">
        <v>130</v>
      </c>
      <c r="E175" s="8">
        <v>10</v>
      </c>
      <c r="F175" s="8" t="s">
        <v>59</v>
      </c>
    </row>
    <row r="176" spans="1:16" ht="15.75" customHeight="1" x14ac:dyDescent="0.25">
      <c r="A176" s="5" t="s">
        <v>60</v>
      </c>
      <c r="B176" s="5" t="s">
        <v>61</v>
      </c>
      <c r="C176" s="5" t="s">
        <v>62</v>
      </c>
      <c r="D176" s="5">
        <v>950</v>
      </c>
      <c r="E176" s="5">
        <v>25</v>
      </c>
      <c r="F176" s="5" t="s">
        <v>28</v>
      </c>
    </row>
    <row r="177" spans="1:6" ht="15.75" customHeight="1" x14ac:dyDescent="0.25">
      <c r="A177" s="8" t="s">
        <v>63</v>
      </c>
      <c r="B177" s="8" t="s">
        <v>30</v>
      </c>
      <c r="C177" s="8" t="s">
        <v>49</v>
      </c>
      <c r="D177" s="8">
        <v>90</v>
      </c>
      <c r="E177" s="8">
        <v>40</v>
      </c>
      <c r="F177" s="8"/>
    </row>
    <row r="178" spans="1:6" ht="15.75" customHeight="1" x14ac:dyDescent="0.25">
      <c r="A178" s="5" t="s">
        <v>64</v>
      </c>
      <c r="B178" s="5" t="s">
        <v>34</v>
      </c>
      <c r="C178" s="5" t="s">
        <v>65</v>
      </c>
      <c r="D178" s="5">
        <v>120</v>
      </c>
      <c r="E178" s="5">
        <v>35</v>
      </c>
      <c r="F178" s="5"/>
    </row>
    <row r="179" spans="1:6" ht="15.75" customHeight="1" x14ac:dyDescent="0.25">
      <c r="A179" s="8" t="s">
        <v>66</v>
      </c>
      <c r="B179" s="8" t="s">
        <v>67</v>
      </c>
      <c r="C179" s="8" t="s">
        <v>68</v>
      </c>
      <c r="D179" s="8">
        <v>150</v>
      </c>
      <c r="E179" s="8">
        <v>15</v>
      </c>
      <c r="F179" s="20" t="s">
        <v>46</v>
      </c>
    </row>
    <row r="180" spans="1:6" ht="15.75" customHeight="1" x14ac:dyDescent="0.25">
      <c r="A180" s="5" t="s">
        <v>69</v>
      </c>
      <c r="B180" s="5" t="s">
        <v>70</v>
      </c>
      <c r="C180" s="5" t="s">
        <v>71</v>
      </c>
      <c r="D180" s="5">
        <v>250</v>
      </c>
      <c r="E180" s="5">
        <v>20</v>
      </c>
      <c r="F180" s="20" t="s">
        <v>46</v>
      </c>
    </row>
    <row r="181" spans="1:6" ht="15.75" customHeight="1" x14ac:dyDescent="0.25">
      <c r="A181" s="8" t="s">
        <v>72</v>
      </c>
      <c r="B181" s="8" t="s">
        <v>73</v>
      </c>
      <c r="C181" s="8" t="s">
        <v>74</v>
      </c>
      <c r="D181" s="8">
        <v>50</v>
      </c>
      <c r="E181" s="8">
        <v>35</v>
      </c>
      <c r="F181" s="8" t="s">
        <v>75</v>
      </c>
    </row>
    <row r="182" spans="1:6" ht="15.75" customHeight="1" x14ac:dyDescent="0.25">
      <c r="A182" s="5" t="s">
        <v>76</v>
      </c>
      <c r="B182" s="5" t="s">
        <v>67</v>
      </c>
      <c r="C182" s="5" t="s">
        <v>77</v>
      </c>
      <c r="D182" s="5">
        <v>160</v>
      </c>
      <c r="E182" s="5">
        <v>15</v>
      </c>
      <c r="F182" s="20" t="s">
        <v>46</v>
      </c>
    </row>
    <row r="183" spans="1:6" ht="15.75" customHeight="1" x14ac:dyDescent="0.25">
      <c r="A183" s="8" t="s">
        <v>78</v>
      </c>
      <c r="B183" s="8" t="s">
        <v>26</v>
      </c>
      <c r="C183" s="8" t="s">
        <v>79</v>
      </c>
      <c r="D183" s="8">
        <v>980</v>
      </c>
      <c r="E183" s="8">
        <v>10</v>
      </c>
      <c r="F183" s="8" t="s">
        <v>28</v>
      </c>
    </row>
    <row r="184" spans="1:6" ht="15.75" customHeight="1" x14ac:dyDescent="0.25">
      <c r="A184" s="5" t="s">
        <v>80</v>
      </c>
      <c r="B184" s="5" t="s">
        <v>81</v>
      </c>
      <c r="C184" s="5" t="s">
        <v>82</v>
      </c>
      <c r="D184" s="5">
        <v>150</v>
      </c>
      <c r="E184" s="5">
        <v>15</v>
      </c>
      <c r="F184" s="5" t="s">
        <v>32</v>
      </c>
    </row>
    <row r="185" spans="1:6" ht="15.75" customHeight="1" x14ac:dyDescent="0.25">
      <c r="A185" s="8" t="s">
        <v>83</v>
      </c>
      <c r="B185" s="8" t="s">
        <v>84</v>
      </c>
      <c r="C185" s="8" t="s">
        <v>85</v>
      </c>
      <c r="D185" s="14">
        <f>AVERAGE(D180:D184)</f>
        <v>318</v>
      </c>
      <c r="E185" s="8">
        <v>10</v>
      </c>
      <c r="F185" s="8" t="s">
        <v>59</v>
      </c>
    </row>
    <row r="186" spans="1:6" ht="15.75" customHeight="1" x14ac:dyDescent="0.25">
      <c r="A186" s="5" t="s">
        <v>86</v>
      </c>
      <c r="B186" s="5" t="s">
        <v>87</v>
      </c>
      <c r="C186" s="5" t="s">
        <v>88</v>
      </c>
      <c r="D186" s="5">
        <v>700</v>
      </c>
      <c r="E186" s="5">
        <v>50</v>
      </c>
      <c r="F186" s="5" t="s">
        <v>28</v>
      </c>
    </row>
    <row r="187" spans="1:6" ht="15.75" customHeight="1" x14ac:dyDescent="0.25">
      <c r="A187" s="8" t="s">
        <v>89</v>
      </c>
      <c r="B187" s="8" t="s">
        <v>90</v>
      </c>
      <c r="C187" s="8" t="s">
        <v>91</v>
      </c>
      <c r="D187" s="8">
        <v>80</v>
      </c>
      <c r="E187" s="8">
        <v>20</v>
      </c>
      <c r="F187" s="8" t="s">
        <v>36</v>
      </c>
    </row>
    <row r="188" spans="1:6" ht="15.75" customHeight="1" x14ac:dyDescent="0.25">
      <c r="A188" s="5" t="s">
        <v>92</v>
      </c>
      <c r="B188" s="5" t="s">
        <v>93</v>
      </c>
      <c r="C188" s="5" t="s">
        <v>94</v>
      </c>
      <c r="D188" s="5">
        <v>150</v>
      </c>
      <c r="E188" s="5">
        <v>30</v>
      </c>
      <c r="F188" s="5"/>
    </row>
    <row r="189" spans="1:6" ht="15.75" customHeight="1" x14ac:dyDescent="0.25">
      <c r="A189" s="8" t="s">
        <v>72</v>
      </c>
      <c r="B189" s="8" t="s">
        <v>73</v>
      </c>
      <c r="C189" s="8" t="s">
        <v>74</v>
      </c>
      <c r="D189" s="8">
        <v>50</v>
      </c>
      <c r="E189" s="8">
        <v>35</v>
      </c>
      <c r="F189" s="8" t="s">
        <v>75</v>
      </c>
    </row>
    <row r="190" spans="1:6" ht="15.75" customHeight="1" x14ac:dyDescent="0.25">
      <c r="A190" s="5" t="s">
        <v>95</v>
      </c>
      <c r="B190" s="5" t="s">
        <v>96</v>
      </c>
      <c r="C190" s="5" t="s">
        <v>97</v>
      </c>
      <c r="D190" s="5">
        <v>800</v>
      </c>
      <c r="E190" s="5">
        <v>45</v>
      </c>
      <c r="F190" s="5" t="s">
        <v>28</v>
      </c>
    </row>
    <row r="191" spans="1:6" ht="15.75" customHeight="1" x14ac:dyDescent="0.25">
      <c r="A191" s="8" t="s">
        <v>98</v>
      </c>
      <c r="B191" s="8" t="s">
        <v>81</v>
      </c>
      <c r="C191" s="8" t="s">
        <v>99</v>
      </c>
      <c r="D191" s="14">
        <f>AVERAGE(D186:D190)</f>
        <v>356</v>
      </c>
      <c r="E191" s="8">
        <v>25</v>
      </c>
      <c r="F191" s="8" t="s">
        <v>32</v>
      </c>
    </row>
    <row r="192" spans="1:6" ht="15.75" customHeight="1" x14ac:dyDescent="0.25">
      <c r="A192" s="5" t="s">
        <v>100</v>
      </c>
      <c r="B192" s="5" t="s">
        <v>51</v>
      </c>
      <c r="C192" s="5" t="s">
        <v>101</v>
      </c>
      <c r="D192" s="5">
        <v>400</v>
      </c>
      <c r="E192" s="5">
        <v>40</v>
      </c>
      <c r="F192" s="5" t="s">
        <v>36</v>
      </c>
    </row>
    <row r="193" spans="1:8" ht="15.75" customHeight="1" x14ac:dyDescent="0.25">
      <c r="A193" s="8" t="s">
        <v>69</v>
      </c>
      <c r="B193" s="8" t="s">
        <v>70</v>
      </c>
      <c r="C193" s="8" t="s">
        <v>71</v>
      </c>
      <c r="D193" s="8">
        <v>250</v>
      </c>
      <c r="E193" s="8">
        <v>20</v>
      </c>
      <c r="F193" s="20" t="s">
        <v>46</v>
      </c>
    </row>
    <row r="194" spans="1:8" ht="15.75" customHeight="1" x14ac:dyDescent="0.25">
      <c r="A194" s="5" t="s">
        <v>102</v>
      </c>
      <c r="B194" s="5" t="s">
        <v>103</v>
      </c>
      <c r="C194" s="5" t="s">
        <v>104</v>
      </c>
      <c r="D194" s="5">
        <v>60</v>
      </c>
      <c r="E194" s="5">
        <v>30</v>
      </c>
      <c r="F194" s="5" t="s">
        <v>32</v>
      </c>
    </row>
    <row r="195" spans="1:8" ht="15.75" customHeight="1" x14ac:dyDescent="0.25">
      <c r="A195" s="8" t="s">
        <v>105</v>
      </c>
      <c r="B195" s="8" t="s">
        <v>106</v>
      </c>
      <c r="C195" s="8" t="s">
        <v>107</v>
      </c>
      <c r="D195" s="8">
        <v>40</v>
      </c>
      <c r="E195" s="8">
        <v>10</v>
      </c>
      <c r="F195" s="8" t="s">
        <v>36</v>
      </c>
    </row>
    <row r="196" spans="1:8" ht="15.75" customHeight="1" x14ac:dyDescent="0.25">
      <c r="A196" s="5" t="s">
        <v>108</v>
      </c>
      <c r="B196" s="5" t="s">
        <v>93</v>
      </c>
      <c r="C196" s="5" t="s">
        <v>109</v>
      </c>
      <c r="D196" s="5">
        <v>130</v>
      </c>
      <c r="E196" s="5">
        <v>5</v>
      </c>
      <c r="F196" s="5" t="s">
        <v>28</v>
      </c>
    </row>
    <row r="197" spans="1:8" ht="15.75" customHeight="1" x14ac:dyDescent="0.25">
      <c r="A197" s="8" t="s">
        <v>110</v>
      </c>
      <c r="B197" s="8" t="s">
        <v>111</v>
      </c>
      <c r="C197" s="8" t="s">
        <v>112</v>
      </c>
      <c r="D197" s="8">
        <v>50</v>
      </c>
      <c r="E197" s="8">
        <v>50</v>
      </c>
      <c r="F197" s="8" t="s">
        <v>32</v>
      </c>
    </row>
    <row r="198" spans="1:8" ht="15.75" customHeight="1" x14ac:dyDescent="0.25">
      <c r="A198" s="5" t="s">
        <v>60</v>
      </c>
      <c r="B198" s="5" t="s">
        <v>61</v>
      </c>
      <c r="C198" s="5" t="s">
        <v>62</v>
      </c>
      <c r="D198" s="5">
        <v>950</v>
      </c>
      <c r="E198" s="5">
        <v>25</v>
      </c>
      <c r="F198" s="5" t="s">
        <v>28</v>
      </c>
    </row>
    <row r="199" spans="1:8" ht="15.75" customHeight="1" x14ac:dyDescent="0.25">
      <c r="A199" s="8" t="s">
        <v>113</v>
      </c>
      <c r="B199" s="8" t="s">
        <v>114</v>
      </c>
      <c r="C199" s="8" t="s">
        <v>115</v>
      </c>
      <c r="D199" s="8">
        <v>100</v>
      </c>
      <c r="E199" s="8">
        <v>20</v>
      </c>
      <c r="F199" s="8" t="s">
        <v>75</v>
      </c>
    </row>
    <row r="200" spans="1:8" ht="15.75" customHeight="1" x14ac:dyDescent="0.25"/>
    <row r="201" spans="1:8" ht="15.75" customHeight="1" x14ac:dyDescent="0.25"/>
    <row r="202" spans="1:8" ht="15.75" customHeight="1" x14ac:dyDescent="0.3">
      <c r="A202" s="21" t="s">
        <v>7</v>
      </c>
      <c r="B202" s="22"/>
      <c r="C202" s="22"/>
      <c r="D202" s="22"/>
      <c r="E202" s="22"/>
      <c r="F202" s="22"/>
      <c r="G202" s="22"/>
      <c r="H202" s="22"/>
    </row>
    <row r="203" spans="1:8" ht="15.75" customHeight="1" x14ac:dyDescent="0.25"/>
    <row r="204" spans="1:8" ht="15.75" customHeight="1" x14ac:dyDescent="0.25">
      <c r="A204" s="7" t="s">
        <v>19</v>
      </c>
      <c r="B204" s="7" t="s">
        <v>20</v>
      </c>
      <c r="C204" s="7" t="s">
        <v>21</v>
      </c>
      <c r="D204" s="7" t="s">
        <v>22</v>
      </c>
      <c r="E204" s="7" t="s">
        <v>23</v>
      </c>
      <c r="F204" s="7" t="s">
        <v>24</v>
      </c>
    </row>
    <row r="205" spans="1:8" ht="15.75" customHeight="1" x14ac:dyDescent="0.25">
      <c r="A205" s="5" t="s">
        <v>25</v>
      </c>
      <c r="B205" s="5" t="s">
        <v>26</v>
      </c>
      <c r="C205" s="5" t="s">
        <v>27</v>
      </c>
      <c r="D205" s="5">
        <v>1000</v>
      </c>
      <c r="E205" s="5">
        <v>30</v>
      </c>
      <c r="F205" s="5" t="s">
        <v>28</v>
      </c>
    </row>
    <row r="206" spans="1:8" ht="15.75" customHeight="1" x14ac:dyDescent="0.25">
      <c r="A206" s="8" t="s">
        <v>29</v>
      </c>
      <c r="B206" s="8" t="s">
        <v>30</v>
      </c>
      <c r="C206" s="8" t="s">
        <v>31</v>
      </c>
      <c r="D206" s="8">
        <v>80</v>
      </c>
      <c r="E206" s="8">
        <v>15</v>
      </c>
      <c r="F206" s="8" t="s">
        <v>32</v>
      </c>
    </row>
    <row r="207" spans="1:8" ht="15.75" customHeight="1" x14ac:dyDescent="0.25">
      <c r="A207" s="5" t="s">
        <v>33</v>
      </c>
      <c r="B207" s="5" t="s">
        <v>34</v>
      </c>
      <c r="C207" s="5" t="s">
        <v>35</v>
      </c>
      <c r="D207" s="5">
        <v>130</v>
      </c>
      <c r="E207" s="5">
        <v>40</v>
      </c>
      <c r="F207" s="5" t="s">
        <v>36</v>
      </c>
    </row>
    <row r="208" spans="1:8" ht="15.75" customHeight="1" x14ac:dyDescent="0.25">
      <c r="A208" s="8" t="s">
        <v>37</v>
      </c>
      <c r="B208" s="8" t="s">
        <v>38</v>
      </c>
      <c r="C208" s="8" t="s">
        <v>39</v>
      </c>
      <c r="D208" s="8">
        <v>900</v>
      </c>
      <c r="E208" s="8">
        <v>25</v>
      </c>
      <c r="F208" s="8" t="s">
        <v>28</v>
      </c>
    </row>
    <row r="209" spans="1:11" ht="15.75" customHeight="1" x14ac:dyDescent="0.25">
      <c r="A209" s="8" t="s">
        <v>43</v>
      </c>
      <c r="B209" s="8" t="s">
        <v>44</v>
      </c>
      <c r="C209" s="8" t="s">
        <v>45</v>
      </c>
      <c r="D209" s="14">
        <v>436</v>
      </c>
      <c r="E209" s="8">
        <v>45</v>
      </c>
      <c r="F209" s="16" t="s">
        <v>28</v>
      </c>
    </row>
    <row r="210" spans="1:11" ht="15.75" customHeight="1" x14ac:dyDescent="0.25">
      <c r="A210" s="5" t="s">
        <v>47</v>
      </c>
      <c r="B210" s="5" t="s">
        <v>48</v>
      </c>
      <c r="C210" s="5" t="s">
        <v>49</v>
      </c>
      <c r="D210" s="5">
        <v>30</v>
      </c>
      <c r="E210" s="5">
        <v>5</v>
      </c>
      <c r="F210" s="5" t="s">
        <v>32</v>
      </c>
      <c r="I210" s="31" t="s">
        <v>122</v>
      </c>
      <c r="J210" s="31"/>
      <c r="K210" s="31"/>
    </row>
    <row r="211" spans="1:11" ht="15.75" customHeight="1" x14ac:dyDescent="0.25">
      <c r="A211" s="8" t="s">
        <v>50</v>
      </c>
      <c r="B211" s="8" t="s">
        <v>51</v>
      </c>
      <c r="C211" s="8" t="s">
        <v>52</v>
      </c>
      <c r="D211" s="8">
        <v>90</v>
      </c>
      <c r="E211" s="8">
        <v>35</v>
      </c>
      <c r="F211" s="8" t="s">
        <v>36</v>
      </c>
    </row>
    <row r="212" spans="1:11" ht="15.75" customHeight="1" x14ac:dyDescent="0.25">
      <c r="A212" s="5" t="s">
        <v>53</v>
      </c>
      <c r="B212" s="5" t="s">
        <v>54</v>
      </c>
      <c r="C212" s="5" t="s">
        <v>55</v>
      </c>
      <c r="D212" s="5">
        <v>500</v>
      </c>
      <c r="E212" s="5">
        <v>50</v>
      </c>
      <c r="F212" s="5" t="s">
        <v>28</v>
      </c>
    </row>
    <row r="213" spans="1:11" ht="15.75" customHeight="1" x14ac:dyDescent="0.25">
      <c r="A213" s="8" t="s">
        <v>56</v>
      </c>
      <c r="B213" s="8" t="s">
        <v>57</v>
      </c>
      <c r="C213" s="8" t="s">
        <v>58</v>
      </c>
      <c r="D213" s="8">
        <v>130</v>
      </c>
      <c r="E213" s="8">
        <v>10</v>
      </c>
      <c r="F213" s="8" t="s">
        <v>59</v>
      </c>
    </row>
    <row r="214" spans="1:11" ht="15.75" customHeight="1" x14ac:dyDescent="0.25">
      <c r="A214" s="5" t="s">
        <v>60</v>
      </c>
      <c r="B214" s="5" t="s">
        <v>61</v>
      </c>
      <c r="C214" s="5" t="s">
        <v>62</v>
      </c>
      <c r="D214" s="5">
        <v>950</v>
      </c>
      <c r="E214" s="5">
        <v>25</v>
      </c>
      <c r="F214" s="5" t="s">
        <v>28</v>
      </c>
    </row>
    <row r="215" spans="1:11" ht="15.75" customHeight="1" x14ac:dyDescent="0.25">
      <c r="A215" s="8" t="s">
        <v>66</v>
      </c>
      <c r="B215" s="8" t="s">
        <v>67</v>
      </c>
      <c r="C215" s="8" t="s">
        <v>68</v>
      </c>
      <c r="D215" s="8">
        <v>150</v>
      </c>
      <c r="E215" s="8">
        <v>15</v>
      </c>
      <c r="F215" s="8" t="s">
        <v>28</v>
      </c>
    </row>
    <row r="216" spans="1:11" ht="15.75" customHeight="1" x14ac:dyDescent="0.25">
      <c r="A216" s="5" t="s">
        <v>69</v>
      </c>
      <c r="B216" s="5" t="s">
        <v>70</v>
      </c>
      <c r="C216" s="5" t="s">
        <v>71</v>
      </c>
      <c r="D216" s="5">
        <v>250</v>
      </c>
      <c r="E216" s="5">
        <v>20</v>
      </c>
      <c r="F216" s="5" t="s">
        <v>28</v>
      </c>
    </row>
    <row r="217" spans="1:11" ht="15.75" customHeight="1" x14ac:dyDescent="0.25">
      <c r="A217" s="8" t="s">
        <v>72</v>
      </c>
      <c r="B217" s="8" t="s">
        <v>73</v>
      </c>
      <c r="C217" s="8" t="s">
        <v>74</v>
      </c>
      <c r="D217" s="8">
        <v>50</v>
      </c>
      <c r="E217" s="8">
        <v>35</v>
      </c>
      <c r="F217" s="8" t="s">
        <v>75</v>
      </c>
    </row>
    <row r="218" spans="1:11" ht="15.75" customHeight="1" x14ac:dyDescent="0.25">
      <c r="A218" s="5" t="s">
        <v>76</v>
      </c>
      <c r="B218" s="5" t="s">
        <v>67</v>
      </c>
      <c r="C218" s="5" t="s">
        <v>77</v>
      </c>
      <c r="D218" s="5">
        <v>160</v>
      </c>
      <c r="E218" s="5">
        <v>15</v>
      </c>
      <c r="F218" s="5" t="s">
        <v>28</v>
      </c>
    </row>
    <row r="219" spans="1:11" ht="15.75" customHeight="1" x14ac:dyDescent="0.25">
      <c r="A219" s="8" t="s">
        <v>78</v>
      </c>
      <c r="B219" s="8" t="s">
        <v>26</v>
      </c>
      <c r="C219" s="8" t="s">
        <v>79</v>
      </c>
      <c r="D219" s="8">
        <v>980</v>
      </c>
      <c r="E219" s="8">
        <v>10</v>
      </c>
      <c r="F219" s="8" t="s">
        <v>28</v>
      </c>
    </row>
    <row r="220" spans="1:11" ht="15.75" customHeight="1" x14ac:dyDescent="0.25">
      <c r="A220" s="5" t="s">
        <v>80</v>
      </c>
      <c r="B220" s="5" t="s">
        <v>81</v>
      </c>
      <c r="C220" s="5" t="s">
        <v>82</v>
      </c>
      <c r="D220" s="5">
        <v>150</v>
      </c>
      <c r="E220" s="5">
        <v>15</v>
      </c>
      <c r="F220" s="5" t="s">
        <v>32</v>
      </c>
    </row>
    <row r="221" spans="1:11" ht="15.75" customHeight="1" x14ac:dyDescent="0.25">
      <c r="A221" s="8" t="s">
        <v>83</v>
      </c>
      <c r="B221" s="8" t="s">
        <v>84</v>
      </c>
      <c r="C221" s="8" t="s">
        <v>85</v>
      </c>
      <c r="D221" s="14">
        <v>318</v>
      </c>
      <c r="E221" s="8">
        <v>10</v>
      </c>
      <c r="F221" s="8" t="s">
        <v>59</v>
      </c>
    </row>
    <row r="222" spans="1:11" ht="15.75" customHeight="1" x14ac:dyDescent="0.25">
      <c r="A222" s="5" t="s">
        <v>86</v>
      </c>
      <c r="B222" s="5" t="s">
        <v>87</v>
      </c>
      <c r="C222" s="5" t="s">
        <v>88</v>
      </c>
      <c r="D222" s="5">
        <v>700</v>
      </c>
      <c r="E222" s="5">
        <v>50</v>
      </c>
      <c r="F222" s="5" t="s">
        <v>28</v>
      </c>
    </row>
    <row r="223" spans="1:11" ht="15.75" customHeight="1" x14ac:dyDescent="0.25">
      <c r="A223" s="8" t="s">
        <v>89</v>
      </c>
      <c r="B223" s="8" t="s">
        <v>90</v>
      </c>
      <c r="C223" s="8" t="s">
        <v>91</v>
      </c>
      <c r="D223" s="8">
        <v>80</v>
      </c>
      <c r="E223" s="8">
        <v>20</v>
      </c>
      <c r="F223" s="8" t="s">
        <v>36</v>
      </c>
    </row>
    <row r="224" spans="1:11" ht="15.75" customHeight="1" x14ac:dyDescent="0.25">
      <c r="A224" s="8" t="s">
        <v>72</v>
      </c>
      <c r="B224" s="8" t="s">
        <v>73</v>
      </c>
      <c r="C224" s="8" t="s">
        <v>74</v>
      </c>
      <c r="D224" s="8">
        <v>50</v>
      </c>
      <c r="E224" s="8">
        <v>35</v>
      </c>
      <c r="F224" s="8" t="s">
        <v>75</v>
      </c>
    </row>
    <row r="225" spans="1:6" ht="15.75" customHeight="1" x14ac:dyDescent="0.25">
      <c r="A225" s="5" t="s">
        <v>95</v>
      </c>
      <c r="B225" s="5" t="s">
        <v>96</v>
      </c>
      <c r="C225" s="5" t="s">
        <v>97</v>
      </c>
      <c r="D225" s="5">
        <v>800</v>
      </c>
      <c r="E225" s="5">
        <v>45</v>
      </c>
      <c r="F225" s="5" t="s">
        <v>28</v>
      </c>
    </row>
    <row r="226" spans="1:6" ht="15.75" customHeight="1" x14ac:dyDescent="0.25">
      <c r="A226" s="8" t="s">
        <v>98</v>
      </c>
      <c r="B226" s="8" t="s">
        <v>81</v>
      </c>
      <c r="C226" s="8" t="s">
        <v>99</v>
      </c>
      <c r="D226" s="14">
        <v>356</v>
      </c>
      <c r="E226" s="8">
        <v>25</v>
      </c>
      <c r="F226" s="8" t="s">
        <v>32</v>
      </c>
    </row>
    <row r="227" spans="1:6" ht="15.75" customHeight="1" x14ac:dyDescent="0.25">
      <c r="A227" s="5" t="s">
        <v>100</v>
      </c>
      <c r="B227" s="5" t="s">
        <v>51</v>
      </c>
      <c r="C227" s="5" t="s">
        <v>101</v>
      </c>
      <c r="D227" s="5">
        <v>400</v>
      </c>
      <c r="E227" s="5">
        <v>40</v>
      </c>
      <c r="F227" s="5" t="s">
        <v>36</v>
      </c>
    </row>
    <row r="228" spans="1:6" ht="15.75" customHeight="1" x14ac:dyDescent="0.25">
      <c r="A228" s="8" t="s">
        <v>69</v>
      </c>
      <c r="B228" s="8" t="s">
        <v>70</v>
      </c>
      <c r="C228" s="8" t="s">
        <v>71</v>
      </c>
      <c r="D228" s="8">
        <v>250</v>
      </c>
      <c r="E228" s="8">
        <v>20</v>
      </c>
      <c r="F228" s="8" t="s">
        <v>28</v>
      </c>
    </row>
    <row r="229" spans="1:6" ht="15.75" customHeight="1" x14ac:dyDescent="0.25">
      <c r="A229" s="5" t="s">
        <v>102</v>
      </c>
      <c r="B229" s="5" t="s">
        <v>103</v>
      </c>
      <c r="C229" s="5" t="s">
        <v>104</v>
      </c>
      <c r="D229" s="5">
        <v>60</v>
      </c>
      <c r="E229" s="5">
        <v>30</v>
      </c>
      <c r="F229" s="5" t="s">
        <v>32</v>
      </c>
    </row>
    <row r="230" spans="1:6" ht="15.75" customHeight="1" x14ac:dyDescent="0.25">
      <c r="A230" s="8" t="s">
        <v>105</v>
      </c>
      <c r="B230" s="8" t="s">
        <v>106</v>
      </c>
      <c r="C230" s="8" t="s">
        <v>107</v>
      </c>
      <c r="D230" s="8">
        <v>40</v>
      </c>
      <c r="E230" s="8">
        <v>10</v>
      </c>
      <c r="F230" s="8" t="s">
        <v>36</v>
      </c>
    </row>
    <row r="231" spans="1:6" ht="15.75" customHeight="1" x14ac:dyDescent="0.25">
      <c r="A231" s="5" t="s">
        <v>108</v>
      </c>
      <c r="B231" s="5" t="s">
        <v>93</v>
      </c>
      <c r="C231" s="5" t="s">
        <v>109</v>
      </c>
      <c r="D231" s="5">
        <v>130</v>
      </c>
      <c r="E231" s="5">
        <v>5</v>
      </c>
      <c r="F231" s="5" t="s">
        <v>28</v>
      </c>
    </row>
    <row r="232" spans="1:6" ht="15.75" customHeight="1" x14ac:dyDescent="0.25">
      <c r="A232" s="8" t="s">
        <v>110</v>
      </c>
      <c r="B232" s="8" t="s">
        <v>111</v>
      </c>
      <c r="C232" s="8" t="s">
        <v>112</v>
      </c>
      <c r="D232" s="8">
        <v>50</v>
      </c>
      <c r="E232" s="8">
        <v>50</v>
      </c>
      <c r="F232" s="8" t="s">
        <v>32</v>
      </c>
    </row>
    <row r="233" spans="1:6" ht="15.75" customHeight="1" x14ac:dyDescent="0.25">
      <c r="A233" s="5" t="s">
        <v>60</v>
      </c>
      <c r="B233" s="5" t="s">
        <v>61</v>
      </c>
      <c r="C233" s="5" t="s">
        <v>62</v>
      </c>
      <c r="D233" s="5">
        <v>950</v>
      </c>
      <c r="E233" s="5">
        <v>25</v>
      </c>
      <c r="F233" s="5" t="s">
        <v>28</v>
      </c>
    </row>
    <row r="234" spans="1:6" ht="15.75" customHeight="1" x14ac:dyDescent="0.25">
      <c r="A234" s="8" t="s">
        <v>113</v>
      </c>
      <c r="B234" s="8" t="s">
        <v>114</v>
      </c>
      <c r="C234" s="8" t="s">
        <v>115</v>
      </c>
      <c r="D234" s="8">
        <v>100</v>
      </c>
      <c r="E234" s="8">
        <v>20</v>
      </c>
      <c r="F234" s="8" t="s">
        <v>75</v>
      </c>
    </row>
    <row r="235" spans="1:6" ht="15.75" customHeight="1" x14ac:dyDescent="0.25"/>
    <row r="236" spans="1:6" ht="15.75" customHeight="1" x14ac:dyDescent="0.25"/>
    <row r="237" spans="1:6" ht="15.75" customHeight="1" x14ac:dyDescent="0.3">
      <c r="A237" s="2" t="s">
        <v>8</v>
      </c>
    </row>
    <row r="238" spans="1:6" ht="15.75" customHeight="1" x14ac:dyDescent="0.25"/>
    <row r="239" spans="1:6" ht="15.75" customHeight="1" x14ac:dyDescent="0.3">
      <c r="A239" s="18" t="s">
        <v>9</v>
      </c>
      <c r="B239" s="19"/>
      <c r="C239" s="19"/>
      <c r="D239" s="19"/>
      <c r="E239" s="19"/>
    </row>
    <row r="240" spans="1:6" ht="15.75" customHeight="1" x14ac:dyDescent="0.25"/>
    <row r="241" spans="1:8" ht="15.75" customHeight="1" x14ac:dyDescent="0.25">
      <c r="A241" s="7" t="s">
        <v>19</v>
      </c>
      <c r="B241" s="7" t="s">
        <v>20</v>
      </c>
      <c r="C241" s="7" t="s">
        <v>21</v>
      </c>
      <c r="D241" s="7" t="s">
        <v>22</v>
      </c>
      <c r="E241" s="7" t="s">
        <v>23</v>
      </c>
      <c r="F241" s="7" t="s">
        <v>24</v>
      </c>
    </row>
    <row r="242" spans="1:8" ht="15.75" customHeight="1" x14ac:dyDescent="0.25">
      <c r="A242" s="5" t="s">
        <v>25</v>
      </c>
      <c r="B242" s="5" t="s">
        <v>26</v>
      </c>
      <c r="C242" s="5" t="s">
        <v>27</v>
      </c>
      <c r="D242" s="5">
        <v>1000</v>
      </c>
      <c r="E242" s="5">
        <v>30</v>
      </c>
      <c r="F242" s="5" t="s">
        <v>28</v>
      </c>
    </row>
    <row r="243" spans="1:8" ht="15.75" customHeight="1" x14ac:dyDescent="0.25">
      <c r="A243" s="8" t="s">
        <v>29</v>
      </c>
      <c r="B243" s="8" t="s">
        <v>30</v>
      </c>
      <c r="C243" s="8" t="s">
        <v>31</v>
      </c>
      <c r="D243" s="8">
        <v>80</v>
      </c>
      <c r="E243" s="8">
        <v>15</v>
      </c>
      <c r="F243" s="8" t="s">
        <v>32</v>
      </c>
    </row>
    <row r="244" spans="1:8" ht="15.75" customHeight="1" x14ac:dyDescent="0.25">
      <c r="A244" s="5" t="s">
        <v>33</v>
      </c>
      <c r="B244" s="5" t="s">
        <v>34</v>
      </c>
      <c r="C244" s="5" t="s">
        <v>35</v>
      </c>
      <c r="D244" s="5">
        <v>130</v>
      </c>
      <c r="E244" s="5">
        <v>40</v>
      </c>
      <c r="F244" s="5" t="s">
        <v>36</v>
      </c>
    </row>
    <row r="245" spans="1:8" ht="15.75" customHeight="1" x14ac:dyDescent="0.25">
      <c r="A245" s="8" t="s">
        <v>37</v>
      </c>
      <c r="B245" s="8" t="s">
        <v>38</v>
      </c>
      <c r="C245" s="8" t="s">
        <v>39</v>
      </c>
      <c r="D245" s="8">
        <v>900</v>
      </c>
      <c r="E245" s="8">
        <v>25</v>
      </c>
      <c r="F245" s="8" t="s">
        <v>28</v>
      </c>
    </row>
    <row r="246" spans="1:8" ht="15.75" customHeight="1" x14ac:dyDescent="0.25">
      <c r="A246" s="5" t="s">
        <v>40</v>
      </c>
      <c r="B246" s="5" t="s">
        <v>41</v>
      </c>
      <c r="C246" s="5" t="s">
        <v>42</v>
      </c>
      <c r="D246" s="5">
        <v>70</v>
      </c>
      <c r="E246" s="5">
        <v>20</v>
      </c>
      <c r="F246" s="5"/>
    </row>
    <row r="247" spans="1:8" ht="15.75" customHeight="1" x14ac:dyDescent="0.25">
      <c r="A247" s="8" t="s">
        <v>43</v>
      </c>
      <c r="B247" s="8" t="s">
        <v>44</v>
      </c>
      <c r="C247" s="8" t="s">
        <v>45</v>
      </c>
      <c r="D247" s="14">
        <f>AVERAGE(D242:D246)</f>
        <v>436</v>
      </c>
      <c r="E247" s="8">
        <v>45</v>
      </c>
      <c r="F247" s="8" t="s">
        <v>46</v>
      </c>
    </row>
    <row r="248" spans="1:8" ht="15.75" customHeight="1" x14ac:dyDescent="0.25">
      <c r="A248" s="5" t="s">
        <v>47</v>
      </c>
      <c r="B248" s="5" t="s">
        <v>48</v>
      </c>
      <c r="C248" s="5" t="s">
        <v>49</v>
      </c>
      <c r="D248" s="5">
        <v>30</v>
      </c>
      <c r="E248" s="5">
        <v>5</v>
      </c>
      <c r="F248" s="5" t="s">
        <v>32</v>
      </c>
      <c r="H248" s="15" t="s">
        <v>123</v>
      </c>
    </row>
    <row r="249" spans="1:8" ht="15.75" customHeight="1" x14ac:dyDescent="0.25">
      <c r="A249" s="8" t="s">
        <v>50</v>
      </c>
      <c r="B249" s="8" t="s">
        <v>51</v>
      </c>
      <c r="C249" s="8" t="s">
        <v>52</v>
      </c>
      <c r="D249" s="8">
        <v>90</v>
      </c>
      <c r="E249" s="8">
        <v>35</v>
      </c>
      <c r="F249" s="8" t="s">
        <v>36</v>
      </c>
    </row>
    <row r="250" spans="1:8" ht="15.75" customHeight="1" x14ac:dyDescent="0.25">
      <c r="A250" s="5" t="s">
        <v>53</v>
      </c>
      <c r="B250" s="5" t="s">
        <v>54</v>
      </c>
      <c r="C250" s="5" t="s">
        <v>55</v>
      </c>
      <c r="D250" s="5">
        <v>500</v>
      </c>
      <c r="E250" s="5">
        <v>50</v>
      </c>
      <c r="F250" s="5" t="s">
        <v>28</v>
      </c>
    </row>
    <row r="251" spans="1:8" ht="15.75" customHeight="1" x14ac:dyDescent="0.25">
      <c r="A251" s="8" t="s">
        <v>56</v>
      </c>
      <c r="B251" s="8" t="s">
        <v>57</v>
      </c>
      <c r="C251" s="8" t="s">
        <v>58</v>
      </c>
      <c r="D251" s="8">
        <v>130</v>
      </c>
      <c r="E251" s="8">
        <v>10</v>
      </c>
      <c r="F251" s="8" t="s">
        <v>59</v>
      </c>
    </row>
    <row r="252" spans="1:8" ht="15.75" customHeight="1" x14ac:dyDescent="0.25">
      <c r="A252" s="5" t="s">
        <v>60</v>
      </c>
      <c r="B252" s="5" t="s">
        <v>61</v>
      </c>
      <c r="C252" s="5" t="s">
        <v>62</v>
      </c>
      <c r="D252" s="5">
        <v>950</v>
      </c>
      <c r="E252" s="5">
        <v>25</v>
      </c>
      <c r="F252" s="5" t="s">
        <v>28</v>
      </c>
    </row>
    <row r="253" spans="1:8" ht="15.75" customHeight="1" x14ac:dyDescent="0.25">
      <c r="A253" s="8" t="s">
        <v>63</v>
      </c>
      <c r="B253" s="8" t="s">
        <v>30</v>
      </c>
      <c r="C253" s="8" t="s">
        <v>49</v>
      </c>
      <c r="D253" s="8">
        <v>90</v>
      </c>
      <c r="E253" s="8">
        <v>40</v>
      </c>
      <c r="F253" s="8"/>
    </row>
    <row r="254" spans="1:8" ht="15.75" customHeight="1" x14ac:dyDescent="0.25">
      <c r="A254" s="5" t="s">
        <v>64</v>
      </c>
      <c r="B254" s="5" t="s">
        <v>34</v>
      </c>
      <c r="C254" s="5" t="s">
        <v>65</v>
      </c>
      <c r="D254" s="5">
        <v>120</v>
      </c>
      <c r="E254" s="5">
        <v>35</v>
      </c>
      <c r="F254" s="5"/>
    </row>
    <row r="255" spans="1:8" ht="15.75" customHeight="1" x14ac:dyDescent="0.25">
      <c r="A255" s="8" t="s">
        <v>66</v>
      </c>
      <c r="B255" s="8" t="s">
        <v>67</v>
      </c>
      <c r="C255" s="8" t="s">
        <v>68</v>
      </c>
      <c r="D255" s="8">
        <v>150</v>
      </c>
      <c r="E255" s="8">
        <v>15</v>
      </c>
      <c r="F255" s="8" t="s">
        <v>46</v>
      </c>
    </row>
    <row r="256" spans="1:8" ht="15.75" customHeight="1" x14ac:dyDescent="0.25">
      <c r="A256" s="5" t="s">
        <v>69</v>
      </c>
      <c r="B256" s="5" t="s">
        <v>70</v>
      </c>
      <c r="C256" s="5" t="s">
        <v>71</v>
      </c>
      <c r="D256" s="5">
        <v>250</v>
      </c>
      <c r="E256" s="5">
        <v>20</v>
      </c>
      <c r="F256" s="5" t="s">
        <v>46</v>
      </c>
    </row>
    <row r="257" spans="1:6" ht="15.75" customHeight="1" x14ac:dyDescent="0.25">
      <c r="A257" s="8" t="s">
        <v>72</v>
      </c>
      <c r="B257" s="8" t="s">
        <v>73</v>
      </c>
      <c r="C257" s="8" t="s">
        <v>74</v>
      </c>
      <c r="D257" s="8">
        <v>50</v>
      </c>
      <c r="E257" s="8">
        <v>35</v>
      </c>
      <c r="F257" s="8" t="s">
        <v>75</v>
      </c>
    </row>
    <row r="258" spans="1:6" ht="15.75" customHeight="1" x14ac:dyDescent="0.25">
      <c r="A258" s="5" t="s">
        <v>76</v>
      </c>
      <c r="B258" s="5" t="s">
        <v>67</v>
      </c>
      <c r="C258" s="5" t="s">
        <v>77</v>
      </c>
      <c r="D258" s="5">
        <v>160</v>
      </c>
      <c r="E258" s="5">
        <v>15</v>
      </c>
      <c r="F258" s="5" t="s">
        <v>46</v>
      </c>
    </row>
    <row r="259" spans="1:6" ht="15.75" customHeight="1" x14ac:dyDescent="0.25">
      <c r="A259" s="8" t="s">
        <v>78</v>
      </c>
      <c r="B259" s="8" t="s">
        <v>26</v>
      </c>
      <c r="C259" s="8" t="s">
        <v>79</v>
      </c>
      <c r="D259" s="8">
        <v>980</v>
      </c>
      <c r="E259" s="8">
        <v>10</v>
      </c>
      <c r="F259" s="8" t="s">
        <v>28</v>
      </c>
    </row>
    <row r="260" spans="1:6" ht="15.75" customHeight="1" x14ac:dyDescent="0.25">
      <c r="A260" s="5" t="s">
        <v>80</v>
      </c>
      <c r="B260" s="5" t="s">
        <v>81</v>
      </c>
      <c r="C260" s="5" t="s">
        <v>82</v>
      </c>
      <c r="D260" s="5">
        <v>150</v>
      </c>
      <c r="E260" s="5">
        <v>15</v>
      </c>
      <c r="F260" s="5" t="s">
        <v>32</v>
      </c>
    </row>
    <row r="261" spans="1:6" ht="15.75" customHeight="1" x14ac:dyDescent="0.25">
      <c r="A261" s="8" t="s">
        <v>83</v>
      </c>
      <c r="B261" s="8" t="s">
        <v>84</v>
      </c>
      <c r="C261" s="8" t="s">
        <v>85</v>
      </c>
      <c r="D261" s="14">
        <f>AVERAGE(D256:D260)</f>
        <v>318</v>
      </c>
      <c r="E261" s="8">
        <v>10</v>
      </c>
      <c r="F261" s="8" t="s">
        <v>59</v>
      </c>
    </row>
    <row r="262" spans="1:6" ht="15.75" customHeight="1" x14ac:dyDescent="0.25">
      <c r="A262" s="5" t="s">
        <v>86</v>
      </c>
      <c r="B262" s="5" t="s">
        <v>87</v>
      </c>
      <c r="C262" s="5" t="s">
        <v>88</v>
      </c>
      <c r="D262" s="5">
        <v>700</v>
      </c>
      <c r="E262" s="5">
        <v>50</v>
      </c>
      <c r="F262" s="5" t="s">
        <v>28</v>
      </c>
    </row>
    <row r="263" spans="1:6" ht="15.75" customHeight="1" x14ac:dyDescent="0.25">
      <c r="A263" s="8" t="s">
        <v>89</v>
      </c>
      <c r="B263" s="8" t="s">
        <v>90</v>
      </c>
      <c r="C263" s="8" t="s">
        <v>91</v>
      </c>
      <c r="D263" s="8">
        <v>80</v>
      </c>
      <c r="E263" s="8">
        <v>20</v>
      </c>
      <c r="F263" s="8" t="s">
        <v>36</v>
      </c>
    </row>
    <row r="264" spans="1:6" ht="15.75" customHeight="1" x14ac:dyDescent="0.25">
      <c r="A264" s="5" t="s">
        <v>92</v>
      </c>
      <c r="B264" s="5" t="s">
        <v>93</v>
      </c>
      <c r="C264" s="5" t="s">
        <v>94</v>
      </c>
      <c r="D264" s="5">
        <v>150</v>
      </c>
      <c r="E264" s="5">
        <v>30</v>
      </c>
      <c r="F264" s="5"/>
    </row>
    <row r="265" spans="1:6" ht="15.75" customHeight="1" x14ac:dyDescent="0.25">
      <c r="A265" s="5" t="s">
        <v>95</v>
      </c>
      <c r="B265" s="5" t="s">
        <v>96</v>
      </c>
      <c r="C265" s="5" t="s">
        <v>97</v>
      </c>
      <c r="D265" s="5">
        <v>800</v>
      </c>
      <c r="E265" s="5">
        <v>45</v>
      </c>
      <c r="F265" s="5" t="s">
        <v>28</v>
      </c>
    </row>
    <row r="266" spans="1:6" ht="15.75" customHeight="1" x14ac:dyDescent="0.25">
      <c r="A266" s="8" t="s">
        <v>98</v>
      </c>
      <c r="B266" s="8" t="s">
        <v>81</v>
      </c>
      <c r="C266" s="8" t="s">
        <v>99</v>
      </c>
      <c r="D266" s="14">
        <f>AVERAGE(D261:D265)</f>
        <v>409.6</v>
      </c>
      <c r="E266" s="8">
        <v>25</v>
      </c>
      <c r="F266" s="8" t="s">
        <v>32</v>
      </c>
    </row>
    <row r="267" spans="1:6" ht="15.75" customHeight="1" x14ac:dyDescent="0.25">
      <c r="A267" s="5" t="s">
        <v>100</v>
      </c>
      <c r="B267" s="5" t="s">
        <v>51</v>
      </c>
      <c r="C267" s="5" t="s">
        <v>101</v>
      </c>
      <c r="D267" s="5">
        <v>400</v>
      </c>
      <c r="E267" s="5">
        <v>40</v>
      </c>
      <c r="F267" s="5" t="s">
        <v>36</v>
      </c>
    </row>
    <row r="268" spans="1:6" ht="15.75" customHeight="1" x14ac:dyDescent="0.25">
      <c r="A268" s="5" t="s">
        <v>102</v>
      </c>
      <c r="B268" s="5" t="s">
        <v>103</v>
      </c>
      <c r="C268" s="5" t="s">
        <v>104</v>
      </c>
      <c r="D268" s="5">
        <v>60</v>
      </c>
      <c r="E268" s="5">
        <v>30</v>
      </c>
      <c r="F268" s="5" t="s">
        <v>32</v>
      </c>
    </row>
    <row r="269" spans="1:6" ht="15.75" customHeight="1" x14ac:dyDescent="0.25">
      <c r="A269" s="8" t="s">
        <v>105</v>
      </c>
      <c r="B269" s="8" t="s">
        <v>106</v>
      </c>
      <c r="C269" s="8" t="s">
        <v>107</v>
      </c>
      <c r="D269" s="8">
        <v>40</v>
      </c>
      <c r="E269" s="8">
        <v>10</v>
      </c>
      <c r="F269" s="8" t="s">
        <v>36</v>
      </c>
    </row>
    <row r="270" spans="1:6" ht="15.75" customHeight="1" x14ac:dyDescent="0.25">
      <c r="A270" s="5" t="s">
        <v>108</v>
      </c>
      <c r="B270" s="5" t="s">
        <v>93</v>
      </c>
      <c r="C270" s="5" t="s">
        <v>109</v>
      </c>
      <c r="D270" s="5">
        <v>130</v>
      </c>
      <c r="E270" s="5">
        <v>5</v>
      </c>
      <c r="F270" s="5" t="s">
        <v>28</v>
      </c>
    </row>
    <row r="271" spans="1:6" ht="15.75" customHeight="1" x14ac:dyDescent="0.25">
      <c r="A271" s="8" t="s">
        <v>110</v>
      </c>
      <c r="B271" s="8" t="s">
        <v>111</v>
      </c>
      <c r="C271" s="8" t="s">
        <v>112</v>
      </c>
      <c r="D271" s="8">
        <v>50</v>
      </c>
      <c r="E271" s="8">
        <v>50</v>
      </c>
      <c r="F271" s="8" t="s">
        <v>32</v>
      </c>
    </row>
    <row r="272" spans="1:6" ht="15.75" customHeight="1" x14ac:dyDescent="0.25">
      <c r="A272" s="8" t="s">
        <v>113</v>
      </c>
      <c r="B272" s="8" t="s">
        <v>114</v>
      </c>
      <c r="C272" s="8" t="s">
        <v>115</v>
      </c>
      <c r="D272" s="8">
        <v>100</v>
      </c>
      <c r="E272" s="8">
        <v>20</v>
      </c>
      <c r="F272" s="8" t="s">
        <v>75</v>
      </c>
    </row>
    <row r="273" spans="1:10" ht="15.75" customHeight="1" x14ac:dyDescent="0.25"/>
    <row r="274" spans="1:10" ht="15.75" customHeight="1" x14ac:dyDescent="0.25"/>
    <row r="275" spans="1:10" ht="15.75" customHeight="1" x14ac:dyDescent="0.3">
      <c r="A275" s="2" t="s">
        <v>10</v>
      </c>
      <c r="B275" s="5"/>
      <c r="C275" s="5"/>
    </row>
    <row r="276" spans="1:10" ht="15.75" customHeight="1" x14ac:dyDescent="0.25"/>
    <row r="277" spans="1:10" ht="15.75" customHeight="1" x14ac:dyDescent="0.3">
      <c r="A277" s="5"/>
      <c r="B277" s="28" t="s">
        <v>11</v>
      </c>
      <c r="C277" s="23"/>
      <c r="D277" s="23"/>
      <c r="E277" s="23"/>
      <c r="F277" s="23"/>
      <c r="G277" s="23"/>
      <c r="H277" s="23"/>
      <c r="I277" s="23"/>
      <c r="J277" s="5"/>
    </row>
    <row r="278" spans="1:10" ht="15.75" customHeight="1" x14ac:dyDescent="0.25">
      <c r="B278" s="7" t="s">
        <v>136</v>
      </c>
      <c r="C278" s="7" t="s">
        <v>138</v>
      </c>
      <c r="D278" s="7" t="s">
        <v>21</v>
      </c>
      <c r="E278" s="7" t="s">
        <v>22</v>
      </c>
      <c r="F278" s="7" t="s">
        <v>23</v>
      </c>
      <c r="G278" s="7" t="s">
        <v>24</v>
      </c>
      <c r="H278" s="7" t="s">
        <v>20</v>
      </c>
    </row>
    <row r="279" spans="1:10" ht="15.75" customHeight="1" x14ac:dyDescent="0.25">
      <c r="B279" s="24">
        <v>46050</v>
      </c>
      <c r="C279" s="5" t="s">
        <v>124</v>
      </c>
      <c r="D279" s="5" t="s">
        <v>27</v>
      </c>
      <c r="E279" s="5">
        <v>1000</v>
      </c>
      <c r="F279" s="5">
        <v>30</v>
      </c>
      <c r="G279" s="5" t="s">
        <v>28</v>
      </c>
      <c r="H279" s="5" t="s">
        <v>26</v>
      </c>
    </row>
    <row r="280" spans="1:10" ht="15.75" customHeight="1" x14ac:dyDescent="0.25">
      <c r="B280" s="25">
        <v>46068</v>
      </c>
      <c r="C280" s="8" t="s">
        <v>124</v>
      </c>
      <c r="D280" s="8" t="s">
        <v>31</v>
      </c>
      <c r="E280" s="8">
        <v>80</v>
      </c>
      <c r="F280" s="8">
        <v>15</v>
      </c>
      <c r="G280" s="8" t="s">
        <v>32</v>
      </c>
      <c r="H280" s="8" t="s">
        <v>30</v>
      </c>
    </row>
    <row r="281" spans="1:10" ht="15.75" customHeight="1" x14ac:dyDescent="0.25">
      <c r="B281" s="24">
        <v>46084</v>
      </c>
      <c r="C281" s="5" t="s">
        <v>124</v>
      </c>
      <c r="D281" s="5" t="s">
        <v>35</v>
      </c>
      <c r="E281" s="5">
        <v>130</v>
      </c>
      <c r="F281" s="5">
        <v>40</v>
      </c>
      <c r="G281" s="5" t="s">
        <v>36</v>
      </c>
      <c r="H281" s="5" t="s">
        <v>34</v>
      </c>
    </row>
    <row r="282" spans="1:10" ht="15.75" customHeight="1" x14ac:dyDescent="0.25">
      <c r="B282" s="25">
        <v>46123</v>
      </c>
      <c r="C282" s="8" t="s">
        <v>124</v>
      </c>
      <c r="D282" s="8" t="s">
        <v>39</v>
      </c>
      <c r="E282" s="8">
        <v>900</v>
      </c>
      <c r="F282" s="8">
        <v>25</v>
      </c>
      <c r="G282" s="8" t="s">
        <v>28</v>
      </c>
      <c r="H282" s="8" t="s">
        <v>38</v>
      </c>
    </row>
    <row r="283" spans="1:10" ht="15.75" customHeight="1" x14ac:dyDescent="0.25">
      <c r="B283" s="24">
        <v>46164</v>
      </c>
      <c r="C283" s="5" t="s">
        <v>124</v>
      </c>
      <c r="D283" s="5" t="s">
        <v>42</v>
      </c>
      <c r="E283" s="5">
        <v>70</v>
      </c>
      <c r="F283" s="5">
        <v>20</v>
      </c>
      <c r="G283" s="5"/>
      <c r="H283" s="5" t="s">
        <v>41</v>
      </c>
    </row>
    <row r="284" spans="1:10" ht="15.75" customHeight="1" x14ac:dyDescent="0.25">
      <c r="B284" s="25">
        <v>46180</v>
      </c>
      <c r="C284" s="8" t="s">
        <v>125</v>
      </c>
      <c r="D284" s="8" t="s">
        <v>45</v>
      </c>
      <c r="E284" s="14">
        <f>AVERAGE(E279:E283)</f>
        <v>436</v>
      </c>
      <c r="F284" s="8">
        <v>45</v>
      </c>
      <c r="G284" s="8" t="s">
        <v>46</v>
      </c>
      <c r="H284" s="8" t="s">
        <v>44</v>
      </c>
    </row>
    <row r="285" spans="1:10" ht="15.75" customHeight="1" x14ac:dyDescent="0.25">
      <c r="B285" s="24">
        <v>46222</v>
      </c>
      <c r="C285" s="5" t="s">
        <v>125</v>
      </c>
      <c r="D285" s="5" t="s">
        <v>49</v>
      </c>
      <c r="E285" s="5">
        <v>30</v>
      </c>
      <c r="F285" s="5">
        <v>5</v>
      </c>
      <c r="G285" s="5" t="s">
        <v>32</v>
      </c>
      <c r="H285" s="5" t="s">
        <v>48</v>
      </c>
    </row>
    <row r="286" spans="1:10" ht="15.75" customHeight="1" x14ac:dyDescent="0.25">
      <c r="B286" s="25">
        <v>46257</v>
      </c>
      <c r="C286" s="8" t="s">
        <v>125</v>
      </c>
      <c r="D286" s="8" t="s">
        <v>52</v>
      </c>
      <c r="E286" s="8">
        <v>90</v>
      </c>
      <c r="F286" s="8">
        <v>35</v>
      </c>
      <c r="G286" s="8" t="s">
        <v>36</v>
      </c>
      <c r="H286" s="8" t="s">
        <v>51</v>
      </c>
    </row>
    <row r="287" spans="1:10" ht="15.75" customHeight="1" x14ac:dyDescent="0.25">
      <c r="B287" s="24">
        <v>46270</v>
      </c>
      <c r="C287" s="5" t="s">
        <v>125</v>
      </c>
      <c r="D287" s="5" t="s">
        <v>55</v>
      </c>
      <c r="E287" s="5">
        <v>500</v>
      </c>
      <c r="F287" s="5">
        <v>50</v>
      </c>
      <c r="G287" s="5" t="s">
        <v>28</v>
      </c>
      <c r="H287" s="5" t="s">
        <v>54</v>
      </c>
    </row>
    <row r="288" spans="1:10" ht="15.75" customHeight="1" x14ac:dyDescent="0.25">
      <c r="B288" s="25">
        <v>46309</v>
      </c>
      <c r="C288" s="8" t="s">
        <v>125</v>
      </c>
      <c r="D288" s="8" t="s">
        <v>58</v>
      </c>
      <c r="E288" s="8">
        <v>130</v>
      </c>
      <c r="F288" s="8">
        <v>10</v>
      </c>
      <c r="G288" s="8" t="s">
        <v>59</v>
      </c>
      <c r="H288" s="8" t="s">
        <v>57</v>
      </c>
    </row>
    <row r="289" spans="2:8" ht="15.75" customHeight="1" x14ac:dyDescent="0.25">
      <c r="B289" s="24">
        <v>46190</v>
      </c>
      <c r="C289" s="5" t="s">
        <v>126</v>
      </c>
      <c r="D289" s="5" t="s">
        <v>62</v>
      </c>
      <c r="E289" s="5">
        <v>950</v>
      </c>
      <c r="F289" s="5">
        <v>25</v>
      </c>
      <c r="G289" s="5" t="s">
        <v>28</v>
      </c>
      <c r="H289" s="5" t="s">
        <v>61</v>
      </c>
    </row>
    <row r="290" spans="2:8" ht="15.75" customHeight="1" x14ac:dyDescent="0.25">
      <c r="B290" s="25">
        <v>46351</v>
      </c>
      <c r="C290" s="8" t="s">
        <v>127</v>
      </c>
      <c r="D290" s="8" t="s">
        <v>49</v>
      </c>
      <c r="E290" s="8">
        <v>90</v>
      </c>
      <c r="F290" s="8">
        <v>40</v>
      </c>
      <c r="G290" s="8"/>
      <c r="H290" s="8" t="s">
        <v>30</v>
      </c>
    </row>
    <row r="291" spans="2:8" ht="15.75" customHeight="1" x14ac:dyDescent="0.25">
      <c r="B291" s="24">
        <v>46364</v>
      </c>
      <c r="C291" s="5" t="s">
        <v>128</v>
      </c>
      <c r="D291" s="5" t="s">
        <v>65</v>
      </c>
      <c r="E291" s="5">
        <v>120</v>
      </c>
      <c r="F291" s="5">
        <v>35</v>
      </c>
      <c r="G291" s="5"/>
      <c r="H291" s="5" t="s">
        <v>34</v>
      </c>
    </row>
    <row r="292" spans="2:8" ht="15.75" customHeight="1" x14ac:dyDescent="0.25">
      <c r="B292" s="25">
        <v>46071</v>
      </c>
      <c r="C292" s="8" t="s">
        <v>129</v>
      </c>
      <c r="D292" s="8" t="s">
        <v>68</v>
      </c>
      <c r="E292" s="8">
        <v>150</v>
      </c>
      <c r="F292" s="8">
        <v>15</v>
      </c>
      <c r="G292" s="8" t="s">
        <v>46</v>
      </c>
      <c r="H292" s="8" t="s">
        <v>67</v>
      </c>
    </row>
    <row r="293" spans="2:8" ht="15.75" customHeight="1" x14ac:dyDescent="0.25">
      <c r="B293" s="24">
        <v>46128</v>
      </c>
      <c r="C293" s="5" t="s">
        <v>130</v>
      </c>
      <c r="D293" s="5" t="s">
        <v>71</v>
      </c>
      <c r="E293" s="5">
        <v>250</v>
      </c>
      <c r="F293" s="5">
        <v>20</v>
      </c>
      <c r="G293" s="5" t="s">
        <v>46</v>
      </c>
      <c r="H293" s="5" t="s">
        <v>70</v>
      </c>
    </row>
    <row r="294" spans="2:8" ht="15.75" customHeight="1" x14ac:dyDescent="0.25">
      <c r="B294" s="25">
        <v>46255</v>
      </c>
      <c r="C294" s="8" t="s">
        <v>129</v>
      </c>
      <c r="D294" s="8" t="s">
        <v>74</v>
      </c>
      <c r="E294" s="8">
        <v>50</v>
      </c>
      <c r="F294" s="8">
        <v>35</v>
      </c>
      <c r="G294" s="8" t="s">
        <v>75</v>
      </c>
      <c r="H294" s="8" t="s">
        <v>73</v>
      </c>
    </row>
    <row r="295" spans="2:8" ht="15.75" customHeight="1" x14ac:dyDescent="0.25">
      <c r="B295" s="24">
        <v>46254</v>
      </c>
      <c r="C295" s="5" t="s">
        <v>131</v>
      </c>
      <c r="D295" s="5" t="s">
        <v>77</v>
      </c>
      <c r="E295" s="5">
        <v>160</v>
      </c>
      <c r="F295" s="5">
        <v>15</v>
      </c>
      <c r="G295" s="5" t="s">
        <v>46</v>
      </c>
      <c r="H295" s="5" t="s">
        <v>67</v>
      </c>
    </row>
    <row r="296" spans="2:8" ht="15.75" customHeight="1" x14ac:dyDescent="0.25">
      <c r="B296" s="25">
        <v>46049</v>
      </c>
      <c r="C296" s="8" t="s">
        <v>132</v>
      </c>
      <c r="D296" s="8" t="s">
        <v>79</v>
      </c>
      <c r="E296" s="8">
        <v>980</v>
      </c>
      <c r="F296" s="8">
        <v>10</v>
      </c>
      <c r="G296" s="8" t="s">
        <v>28</v>
      </c>
      <c r="H296" s="8" t="s">
        <v>26</v>
      </c>
    </row>
    <row r="297" spans="2:8" ht="15.75" customHeight="1" x14ac:dyDescent="0.25">
      <c r="B297" s="24">
        <v>46082</v>
      </c>
      <c r="C297" s="5" t="s">
        <v>125</v>
      </c>
      <c r="D297" s="5" t="s">
        <v>82</v>
      </c>
      <c r="E297" s="5">
        <v>150</v>
      </c>
      <c r="F297" s="5">
        <v>15</v>
      </c>
      <c r="G297" s="5" t="s">
        <v>32</v>
      </c>
      <c r="H297" s="5" t="s">
        <v>81</v>
      </c>
    </row>
    <row r="298" spans="2:8" ht="15.75" customHeight="1" x14ac:dyDescent="0.25">
      <c r="B298" s="25">
        <v>46248</v>
      </c>
      <c r="C298" s="8" t="s">
        <v>124</v>
      </c>
      <c r="D298" s="8" t="s">
        <v>85</v>
      </c>
      <c r="E298" s="14">
        <f>AVERAGE(E293:E297)</f>
        <v>318</v>
      </c>
      <c r="F298" s="8">
        <v>10</v>
      </c>
      <c r="G298" s="8" t="s">
        <v>59</v>
      </c>
      <c r="H298" s="8" t="s">
        <v>84</v>
      </c>
    </row>
    <row r="299" spans="2:8" ht="15.75" customHeight="1" x14ac:dyDescent="0.25">
      <c r="B299" s="24">
        <v>46156</v>
      </c>
      <c r="C299" s="5" t="s">
        <v>133</v>
      </c>
      <c r="D299" s="5" t="s">
        <v>88</v>
      </c>
      <c r="E299" s="5">
        <v>700</v>
      </c>
      <c r="F299" s="5">
        <v>50</v>
      </c>
      <c r="G299" s="5" t="s">
        <v>28</v>
      </c>
      <c r="H299" s="5" t="s">
        <v>87</v>
      </c>
    </row>
    <row r="300" spans="2:8" ht="15.75" customHeight="1" x14ac:dyDescent="0.25">
      <c r="B300" s="25">
        <v>46031</v>
      </c>
      <c r="C300" s="8" t="s">
        <v>129</v>
      </c>
      <c r="D300" s="8" t="s">
        <v>91</v>
      </c>
      <c r="E300" s="8">
        <v>80</v>
      </c>
      <c r="F300" s="8">
        <v>20</v>
      </c>
      <c r="G300" s="8" t="s">
        <v>36</v>
      </c>
      <c r="H300" s="8" t="s">
        <v>90</v>
      </c>
    </row>
    <row r="301" spans="2:8" ht="15.75" customHeight="1" x14ac:dyDescent="0.25">
      <c r="B301" s="24">
        <v>46222</v>
      </c>
      <c r="C301" s="5" t="s">
        <v>134</v>
      </c>
      <c r="D301" s="5" t="s">
        <v>94</v>
      </c>
      <c r="E301" s="5">
        <v>150</v>
      </c>
      <c r="F301" s="5">
        <v>30</v>
      </c>
      <c r="G301" s="5"/>
      <c r="H301" s="5" t="s">
        <v>93</v>
      </c>
    </row>
    <row r="302" spans="2:8" ht="15.75" customHeight="1" x14ac:dyDescent="0.25">
      <c r="B302" s="25">
        <v>46255</v>
      </c>
      <c r="C302" s="8" t="s">
        <v>129</v>
      </c>
      <c r="D302" s="8" t="s">
        <v>74</v>
      </c>
      <c r="E302" s="8">
        <v>50</v>
      </c>
      <c r="F302" s="8">
        <v>35</v>
      </c>
      <c r="G302" s="8" t="s">
        <v>75</v>
      </c>
      <c r="H302" s="8" t="s">
        <v>73</v>
      </c>
    </row>
    <row r="303" spans="2:8" ht="15.75" customHeight="1" x14ac:dyDescent="0.25">
      <c r="B303" s="24">
        <v>46294</v>
      </c>
      <c r="C303" s="5" t="s">
        <v>129</v>
      </c>
      <c r="D303" s="5" t="s">
        <v>97</v>
      </c>
      <c r="E303" s="5">
        <v>800</v>
      </c>
      <c r="F303" s="5">
        <v>45</v>
      </c>
      <c r="G303" s="5" t="s">
        <v>28</v>
      </c>
      <c r="H303" s="5" t="s">
        <v>96</v>
      </c>
    </row>
    <row r="304" spans="2:8" ht="15.75" customHeight="1" x14ac:dyDescent="0.25">
      <c r="B304" s="25">
        <v>46176</v>
      </c>
      <c r="C304" s="8" t="s">
        <v>129</v>
      </c>
      <c r="D304" s="8" t="s">
        <v>99</v>
      </c>
      <c r="E304" s="14">
        <f>AVERAGE(E299:E303)</f>
        <v>356</v>
      </c>
      <c r="F304" s="8">
        <v>25</v>
      </c>
      <c r="G304" s="8" t="s">
        <v>32</v>
      </c>
      <c r="H304" s="8" t="s">
        <v>81</v>
      </c>
    </row>
    <row r="305" spans="1:9" ht="15.75" customHeight="1" x14ac:dyDescent="0.25">
      <c r="B305" s="24">
        <v>46214</v>
      </c>
      <c r="C305" s="5" t="s">
        <v>129</v>
      </c>
      <c r="D305" s="5" t="s">
        <v>101</v>
      </c>
      <c r="E305" s="5">
        <v>400</v>
      </c>
      <c r="F305" s="5">
        <v>40</v>
      </c>
      <c r="G305" s="5" t="s">
        <v>36</v>
      </c>
      <c r="H305" s="5" t="s">
        <v>51</v>
      </c>
    </row>
    <row r="306" spans="1:9" ht="15.75" customHeight="1" x14ac:dyDescent="0.25">
      <c r="B306" s="25">
        <v>46128</v>
      </c>
      <c r="C306" s="8" t="s">
        <v>130</v>
      </c>
      <c r="D306" s="8" t="s">
        <v>71</v>
      </c>
      <c r="E306" s="8">
        <v>250</v>
      </c>
      <c r="F306" s="8">
        <v>20</v>
      </c>
      <c r="G306" s="8" t="s">
        <v>46</v>
      </c>
      <c r="H306" s="8" t="s">
        <v>70</v>
      </c>
    </row>
    <row r="307" spans="1:9" ht="15.75" customHeight="1" x14ac:dyDescent="0.25">
      <c r="B307" s="24">
        <v>46088</v>
      </c>
      <c r="C307" s="5" t="s">
        <v>129</v>
      </c>
      <c r="D307" s="5" t="s">
        <v>104</v>
      </c>
      <c r="E307" s="5">
        <v>60</v>
      </c>
      <c r="F307" s="5">
        <v>30</v>
      </c>
      <c r="G307" s="5" t="s">
        <v>32</v>
      </c>
      <c r="H307" s="5" t="s">
        <v>103</v>
      </c>
    </row>
    <row r="308" spans="1:9" ht="15.75" customHeight="1" x14ac:dyDescent="0.25">
      <c r="B308" s="25">
        <v>46125</v>
      </c>
      <c r="C308" s="8" t="s">
        <v>129</v>
      </c>
      <c r="D308" s="8" t="s">
        <v>107</v>
      </c>
      <c r="E308" s="8">
        <v>40</v>
      </c>
      <c r="F308" s="8">
        <v>10</v>
      </c>
      <c r="G308" s="8" t="s">
        <v>36</v>
      </c>
      <c r="H308" s="8" t="s">
        <v>106</v>
      </c>
    </row>
    <row r="309" spans="1:9" ht="15.75" customHeight="1" x14ac:dyDescent="0.25">
      <c r="B309" s="24">
        <v>46166</v>
      </c>
      <c r="C309" s="5" t="s">
        <v>129</v>
      </c>
      <c r="D309" s="5" t="s">
        <v>109</v>
      </c>
      <c r="E309" s="5">
        <v>130</v>
      </c>
      <c r="F309" s="5">
        <v>5</v>
      </c>
      <c r="G309" s="5" t="s">
        <v>28</v>
      </c>
      <c r="H309" s="5" t="s">
        <v>93</v>
      </c>
    </row>
    <row r="310" spans="1:9" ht="15.75" customHeight="1" x14ac:dyDescent="0.25">
      <c r="B310" s="25">
        <v>46358</v>
      </c>
      <c r="C310" s="8" t="s">
        <v>129</v>
      </c>
      <c r="D310" s="8" t="s">
        <v>112</v>
      </c>
      <c r="E310" s="8">
        <v>50</v>
      </c>
      <c r="F310" s="8">
        <v>50</v>
      </c>
      <c r="G310" s="8" t="s">
        <v>32</v>
      </c>
      <c r="H310" s="8" t="s">
        <v>111</v>
      </c>
    </row>
    <row r="311" spans="1:9" ht="15.75" customHeight="1" x14ac:dyDescent="0.25">
      <c r="B311" s="24">
        <v>46190</v>
      </c>
      <c r="C311" s="5" t="s">
        <v>126</v>
      </c>
      <c r="D311" s="5" t="s">
        <v>62</v>
      </c>
      <c r="E311" s="5">
        <v>950</v>
      </c>
      <c r="F311" s="5">
        <v>25</v>
      </c>
      <c r="G311" s="5" t="s">
        <v>28</v>
      </c>
      <c r="H311" s="5" t="s">
        <v>61</v>
      </c>
    </row>
    <row r="312" spans="1:9" ht="15.75" customHeight="1" x14ac:dyDescent="0.25">
      <c r="A312" s="5"/>
      <c r="B312" s="25">
        <v>46212</v>
      </c>
      <c r="C312" s="8" t="s">
        <v>135</v>
      </c>
      <c r="D312" s="8" t="s">
        <v>115</v>
      </c>
      <c r="E312" s="8">
        <v>100</v>
      </c>
      <c r="F312" s="8">
        <v>20</v>
      </c>
      <c r="G312" s="8" t="s">
        <v>75</v>
      </c>
      <c r="H312" s="8" t="s">
        <v>114</v>
      </c>
      <c r="I312" s="5"/>
    </row>
    <row r="313" spans="1:9" ht="15.75" customHeight="1" x14ac:dyDescent="0.25"/>
    <row r="314" spans="1:9" ht="15.75" customHeight="1" x14ac:dyDescent="0.3">
      <c r="B314" s="18" t="s">
        <v>12</v>
      </c>
      <c r="C314" s="23"/>
      <c r="D314" s="23"/>
      <c r="E314" s="23"/>
      <c r="F314" s="23"/>
      <c r="G314" s="5"/>
      <c r="H314" s="5"/>
    </row>
    <row r="315" spans="1:9" ht="15.75" customHeight="1" x14ac:dyDescent="0.25"/>
    <row r="316" spans="1:9" ht="15.75" customHeight="1" x14ac:dyDescent="0.25">
      <c r="B316" s="7" t="s">
        <v>19</v>
      </c>
      <c r="C316" s="7" t="s">
        <v>20</v>
      </c>
      <c r="D316" s="7" t="s">
        <v>21</v>
      </c>
      <c r="E316" s="7" t="s">
        <v>22</v>
      </c>
      <c r="F316" s="7" t="s">
        <v>23</v>
      </c>
      <c r="G316" s="7" t="s">
        <v>24</v>
      </c>
      <c r="H316" s="17" t="s">
        <v>137</v>
      </c>
    </row>
    <row r="317" spans="1:9" ht="15.75" customHeight="1" x14ac:dyDescent="0.25">
      <c r="B317" s="5" t="s">
        <v>25</v>
      </c>
      <c r="C317" s="5" t="s">
        <v>26</v>
      </c>
      <c r="D317" s="5" t="s">
        <v>27</v>
      </c>
      <c r="E317" s="5">
        <v>1000</v>
      </c>
      <c r="F317" s="5">
        <v>30</v>
      </c>
      <c r="G317" s="5" t="s">
        <v>28</v>
      </c>
      <c r="H317" t="str">
        <f>_xlfn.CONCAT(C317," ",D317)</f>
        <v>laptop Dell</v>
      </c>
    </row>
    <row r="318" spans="1:9" ht="15.75" customHeight="1" x14ac:dyDescent="0.25">
      <c r="B318" s="8" t="s">
        <v>29</v>
      </c>
      <c r="C318" s="8" t="s">
        <v>30</v>
      </c>
      <c r="D318" s="8" t="s">
        <v>31</v>
      </c>
      <c r="E318" s="8">
        <v>80</v>
      </c>
      <c r="F318" s="8">
        <v>15</v>
      </c>
      <c r="G318" s="8" t="s">
        <v>32</v>
      </c>
      <c r="H318" t="str">
        <f t="shared" ref="H318:H350" si="0">_xlfn.CONCAT(C318," ",D318)</f>
        <v>Sneakers Nike</v>
      </c>
    </row>
    <row r="319" spans="1:9" ht="15.75" customHeight="1" x14ac:dyDescent="0.25">
      <c r="B319" s="5" t="s">
        <v>33</v>
      </c>
      <c r="C319" s="5" t="s">
        <v>34</v>
      </c>
      <c r="D319" s="5" t="s">
        <v>35</v>
      </c>
      <c r="E319" s="5">
        <v>130</v>
      </c>
      <c r="F319" s="5">
        <v>40</v>
      </c>
      <c r="G319" s="5" t="s">
        <v>36</v>
      </c>
      <c r="H319" t="str">
        <f t="shared" si="0"/>
        <v>Coffee Maker Keurig</v>
      </c>
    </row>
    <row r="320" spans="1:9" ht="15.75" customHeight="1" x14ac:dyDescent="0.25">
      <c r="B320" s="8" t="s">
        <v>37</v>
      </c>
      <c r="C320" s="8" t="s">
        <v>38</v>
      </c>
      <c r="D320" s="8" t="s">
        <v>39</v>
      </c>
      <c r="E320" s="8">
        <v>900</v>
      </c>
      <c r="F320" s="8">
        <v>25</v>
      </c>
      <c r="G320" s="8" t="s">
        <v>28</v>
      </c>
      <c r="H320" t="str">
        <f t="shared" si="0"/>
        <v>smartphone Samsung</v>
      </c>
    </row>
    <row r="321" spans="2:8" ht="15.75" customHeight="1" x14ac:dyDescent="0.25">
      <c r="B321" s="5" t="s">
        <v>40</v>
      </c>
      <c r="C321" s="5" t="s">
        <v>41</v>
      </c>
      <c r="D321" s="5" t="s">
        <v>42</v>
      </c>
      <c r="E321" s="5">
        <v>70</v>
      </c>
      <c r="F321" s="5">
        <v>20</v>
      </c>
      <c r="G321" s="5"/>
      <c r="H321" t="str">
        <f t="shared" si="0"/>
        <v>Backpack North Face</v>
      </c>
    </row>
    <row r="322" spans="2:8" ht="15.75" customHeight="1" x14ac:dyDescent="0.25">
      <c r="B322" s="8" t="s">
        <v>43</v>
      </c>
      <c r="C322" s="8" t="s">
        <v>44</v>
      </c>
      <c r="D322" s="8" t="s">
        <v>45</v>
      </c>
      <c r="E322" s="14">
        <f>AVERAGE(E317:E321)</f>
        <v>436</v>
      </c>
      <c r="F322" s="8">
        <v>45</v>
      </c>
      <c r="G322" s="8" t="s">
        <v>46</v>
      </c>
      <c r="H322" t="str">
        <f t="shared" si="0"/>
        <v>Headphones Sony</v>
      </c>
    </row>
    <row r="323" spans="2:8" ht="15.75" customHeight="1" x14ac:dyDescent="0.25">
      <c r="B323" s="5" t="s">
        <v>47</v>
      </c>
      <c r="C323" s="5" t="s">
        <v>48</v>
      </c>
      <c r="D323" s="5" t="s">
        <v>49</v>
      </c>
      <c r="E323" s="5">
        <v>30</v>
      </c>
      <c r="F323" s="5">
        <v>5</v>
      </c>
      <c r="G323" s="5" t="s">
        <v>32</v>
      </c>
      <c r="H323" t="str">
        <f t="shared" si="0"/>
        <v>T-shirt Adidas</v>
      </c>
    </row>
    <row r="324" spans="2:8" ht="15.75" customHeight="1" x14ac:dyDescent="0.25">
      <c r="B324" s="8" t="s">
        <v>50</v>
      </c>
      <c r="C324" s="8" t="s">
        <v>51</v>
      </c>
      <c r="D324" s="8" t="s">
        <v>52</v>
      </c>
      <c r="E324" s="8">
        <v>90</v>
      </c>
      <c r="F324" s="8">
        <v>35</v>
      </c>
      <c r="G324" s="8" t="s">
        <v>36</v>
      </c>
      <c r="H324" t="str">
        <f t="shared" si="0"/>
        <v>Blender Ninja</v>
      </c>
    </row>
    <row r="325" spans="2:8" ht="15.75" customHeight="1" x14ac:dyDescent="0.25">
      <c r="B325" s="5" t="s">
        <v>53</v>
      </c>
      <c r="C325" s="5" t="s">
        <v>54</v>
      </c>
      <c r="D325" s="5" t="s">
        <v>55</v>
      </c>
      <c r="E325" s="5">
        <v>500</v>
      </c>
      <c r="F325" s="5">
        <v>50</v>
      </c>
      <c r="G325" s="5" t="s">
        <v>28</v>
      </c>
      <c r="H325" t="str">
        <f t="shared" si="0"/>
        <v>Tablet Apple</v>
      </c>
    </row>
    <row r="326" spans="2:8" ht="15.75" customHeight="1" x14ac:dyDescent="0.25">
      <c r="B326" s="8" t="s">
        <v>56</v>
      </c>
      <c r="C326" s="8" t="s">
        <v>57</v>
      </c>
      <c r="D326" s="8" t="s">
        <v>58</v>
      </c>
      <c r="E326" s="8">
        <v>130</v>
      </c>
      <c r="F326" s="8">
        <v>10</v>
      </c>
      <c r="G326" s="8" t="s">
        <v>59</v>
      </c>
      <c r="H326" t="str">
        <f t="shared" si="0"/>
        <v>Hiking Boots Timberland</v>
      </c>
    </row>
    <row r="327" spans="2:8" ht="15.75" customHeight="1" x14ac:dyDescent="0.25">
      <c r="B327" s="5" t="s">
        <v>60</v>
      </c>
      <c r="C327" s="5" t="s">
        <v>61</v>
      </c>
      <c r="D327" s="5" t="s">
        <v>62</v>
      </c>
      <c r="E327" s="5">
        <v>950</v>
      </c>
      <c r="F327" s="5">
        <v>25</v>
      </c>
      <c r="G327" s="5" t="s">
        <v>28</v>
      </c>
      <c r="H327" t="str">
        <f t="shared" si="0"/>
        <v>Laptop HP</v>
      </c>
    </row>
    <row r="328" spans="2:8" ht="15.75" customHeight="1" x14ac:dyDescent="0.25">
      <c r="B328" s="8" t="s">
        <v>63</v>
      </c>
      <c r="C328" s="8" t="s">
        <v>30</v>
      </c>
      <c r="D328" s="8" t="s">
        <v>49</v>
      </c>
      <c r="E328" s="8">
        <v>90</v>
      </c>
      <c r="F328" s="8">
        <v>40</v>
      </c>
      <c r="G328" s="8"/>
      <c r="H328" t="str">
        <f t="shared" si="0"/>
        <v>Sneakers Adidas</v>
      </c>
    </row>
    <row r="329" spans="2:8" ht="15.75" customHeight="1" x14ac:dyDescent="0.25">
      <c r="B329" s="5" t="s">
        <v>64</v>
      </c>
      <c r="C329" s="5" t="s">
        <v>34</v>
      </c>
      <c r="D329" s="5" t="s">
        <v>65</v>
      </c>
      <c r="E329" s="5">
        <v>120</v>
      </c>
      <c r="F329" s="5">
        <v>35</v>
      </c>
      <c r="G329" s="5"/>
      <c r="H329" t="str">
        <f t="shared" si="0"/>
        <v>Coffee Maker Nespresso</v>
      </c>
    </row>
    <row r="330" spans="2:8" ht="15.75" customHeight="1" x14ac:dyDescent="0.25">
      <c r="B330" s="8" t="s">
        <v>66</v>
      </c>
      <c r="C330" s="8" t="s">
        <v>67</v>
      </c>
      <c r="D330" s="8" t="s">
        <v>68</v>
      </c>
      <c r="E330" s="8">
        <v>150</v>
      </c>
      <c r="F330" s="8">
        <v>15</v>
      </c>
      <c r="G330" s="8" t="s">
        <v>46</v>
      </c>
      <c r="H330" t="str">
        <f t="shared" si="0"/>
        <v>Smartwatch Fitbit</v>
      </c>
    </row>
    <row r="331" spans="2:8" ht="15.75" customHeight="1" x14ac:dyDescent="0.25">
      <c r="B331" s="5" t="s">
        <v>69</v>
      </c>
      <c r="C331" s="5" t="s">
        <v>70</v>
      </c>
      <c r="D331" s="5" t="s">
        <v>71</v>
      </c>
      <c r="E331" s="5">
        <v>250</v>
      </c>
      <c r="F331" s="5">
        <v>20</v>
      </c>
      <c r="G331" s="5" t="s">
        <v>46</v>
      </c>
      <c r="H331" t="str">
        <f t="shared" si="0"/>
        <v>headphones Bose</v>
      </c>
    </row>
    <row r="332" spans="2:8" ht="15.75" customHeight="1" x14ac:dyDescent="0.25">
      <c r="B332" s="8" t="s">
        <v>72</v>
      </c>
      <c r="C332" s="8" t="s">
        <v>73</v>
      </c>
      <c r="D332" s="8" t="s">
        <v>74</v>
      </c>
      <c r="E332" s="8">
        <v>50</v>
      </c>
      <c r="F332" s="8">
        <v>35</v>
      </c>
      <c r="G332" s="8" t="s">
        <v>75</v>
      </c>
      <c r="H332" t="str">
        <f t="shared" si="0"/>
        <v>Laptop Bag Samsonite</v>
      </c>
    </row>
    <row r="333" spans="2:8" ht="15.75" customHeight="1" x14ac:dyDescent="0.25">
      <c r="B333" s="5" t="s">
        <v>76</v>
      </c>
      <c r="C333" s="5" t="s">
        <v>67</v>
      </c>
      <c r="D333" s="5" t="s">
        <v>77</v>
      </c>
      <c r="E333" s="5">
        <v>160</v>
      </c>
      <c r="F333" s="5">
        <v>15</v>
      </c>
      <c r="G333" s="5" t="s">
        <v>46</v>
      </c>
      <c r="H333" t="str">
        <f t="shared" si="0"/>
        <v>Smartwatch Huawei</v>
      </c>
    </row>
    <row r="334" spans="2:8" ht="15.75" customHeight="1" x14ac:dyDescent="0.25">
      <c r="B334" s="8" t="s">
        <v>78</v>
      </c>
      <c r="C334" s="8" t="s">
        <v>26</v>
      </c>
      <c r="D334" s="8" t="s">
        <v>79</v>
      </c>
      <c r="E334" s="8">
        <v>980</v>
      </c>
      <c r="F334" s="8">
        <v>10</v>
      </c>
      <c r="G334" s="8" t="s">
        <v>28</v>
      </c>
      <c r="H334" t="str">
        <f t="shared" si="0"/>
        <v>laptop Asus</v>
      </c>
    </row>
    <row r="335" spans="2:8" ht="15.75" customHeight="1" x14ac:dyDescent="0.25">
      <c r="B335" s="5" t="s">
        <v>80</v>
      </c>
      <c r="C335" s="5" t="s">
        <v>81</v>
      </c>
      <c r="D335" s="5" t="s">
        <v>82</v>
      </c>
      <c r="E335" s="5">
        <v>150</v>
      </c>
      <c r="F335" s="5">
        <v>15</v>
      </c>
      <c r="G335" s="5" t="s">
        <v>32</v>
      </c>
      <c r="H335" t="str">
        <f t="shared" si="0"/>
        <v>Sunglasses Oakley</v>
      </c>
    </row>
    <row r="336" spans="2:8" ht="15.75" customHeight="1" x14ac:dyDescent="0.25">
      <c r="B336" s="8" t="s">
        <v>83</v>
      </c>
      <c r="C336" s="8" t="s">
        <v>84</v>
      </c>
      <c r="D336" s="8" t="s">
        <v>85</v>
      </c>
      <c r="E336" s="14">
        <f>AVERAGE(E331:E335)</f>
        <v>318</v>
      </c>
      <c r="F336" s="8">
        <v>10</v>
      </c>
      <c r="G336" s="8" t="s">
        <v>59</v>
      </c>
      <c r="H336" t="str">
        <f t="shared" si="0"/>
        <v>Camping Tent Coleman</v>
      </c>
    </row>
    <row r="337" spans="1:8" ht="15.75" customHeight="1" x14ac:dyDescent="0.25">
      <c r="B337" s="5" t="s">
        <v>86</v>
      </c>
      <c r="C337" s="5" t="s">
        <v>87</v>
      </c>
      <c r="D337" s="5" t="s">
        <v>88</v>
      </c>
      <c r="E337" s="5">
        <v>700</v>
      </c>
      <c r="F337" s="5">
        <v>50</v>
      </c>
      <c r="G337" s="5" t="s">
        <v>28</v>
      </c>
      <c r="H337" t="str">
        <f t="shared" si="0"/>
        <v>Camera Nikon</v>
      </c>
    </row>
    <row r="338" spans="1:8" ht="15.75" customHeight="1" x14ac:dyDescent="0.25">
      <c r="B338" s="8" t="s">
        <v>89</v>
      </c>
      <c r="C338" s="8" t="s">
        <v>90</v>
      </c>
      <c r="D338" s="8" t="s">
        <v>91</v>
      </c>
      <c r="E338" s="8">
        <v>80</v>
      </c>
      <c r="F338" s="8">
        <v>20</v>
      </c>
      <c r="G338" s="8" t="s">
        <v>36</v>
      </c>
      <c r="H338" t="str">
        <f t="shared" si="0"/>
        <v>Microwave Panasonic</v>
      </c>
    </row>
    <row r="339" spans="1:8" ht="15.75" customHeight="1" x14ac:dyDescent="0.25">
      <c r="B339" s="5" t="s">
        <v>92</v>
      </c>
      <c r="C339" s="5" t="s">
        <v>93</v>
      </c>
      <c r="D339" s="5" t="s">
        <v>94</v>
      </c>
      <c r="E339" s="5">
        <v>150</v>
      </c>
      <c r="F339" s="5">
        <v>30</v>
      </c>
      <c r="G339" s="5"/>
      <c r="H339" t="str">
        <f t="shared" si="0"/>
        <v>Fitness Tracker Xiaomi</v>
      </c>
    </row>
    <row r="340" spans="1:8" ht="15.75" customHeight="1" x14ac:dyDescent="0.25">
      <c r="B340" s="8" t="s">
        <v>72</v>
      </c>
      <c r="C340" s="8" t="s">
        <v>73</v>
      </c>
      <c r="D340" s="8" t="s">
        <v>74</v>
      </c>
      <c r="E340" s="8">
        <v>50</v>
      </c>
      <c r="F340" s="8">
        <v>35</v>
      </c>
      <c r="G340" s="8" t="s">
        <v>75</v>
      </c>
      <c r="H340" t="str">
        <f t="shared" si="0"/>
        <v>Laptop Bag Samsonite</v>
      </c>
    </row>
    <row r="341" spans="1:8" ht="15.75" customHeight="1" x14ac:dyDescent="0.25">
      <c r="B341" s="5" t="s">
        <v>95</v>
      </c>
      <c r="C341" s="5" t="s">
        <v>96</v>
      </c>
      <c r="D341" s="5" t="s">
        <v>97</v>
      </c>
      <c r="E341" s="5">
        <v>800</v>
      </c>
      <c r="F341" s="5">
        <v>45</v>
      </c>
      <c r="G341" s="5" t="s">
        <v>28</v>
      </c>
      <c r="H341" t="str">
        <f t="shared" si="0"/>
        <v>Smartphone Google</v>
      </c>
    </row>
    <row r="342" spans="1:8" ht="15.75" customHeight="1" x14ac:dyDescent="0.25">
      <c r="B342" s="8" t="s">
        <v>98</v>
      </c>
      <c r="C342" s="8" t="s">
        <v>81</v>
      </c>
      <c r="D342" s="8" t="s">
        <v>99</v>
      </c>
      <c r="E342" s="14">
        <f>AVERAGE(E337:E341)</f>
        <v>356</v>
      </c>
      <c r="F342" s="8">
        <v>25</v>
      </c>
      <c r="G342" s="8" t="s">
        <v>32</v>
      </c>
      <c r="H342" t="str">
        <f t="shared" si="0"/>
        <v>Sunglasses Ray-Ban</v>
      </c>
    </row>
    <row r="343" spans="1:8" ht="15.75" customHeight="1" x14ac:dyDescent="0.25">
      <c r="B343" s="5" t="s">
        <v>100</v>
      </c>
      <c r="C343" s="5" t="s">
        <v>51</v>
      </c>
      <c r="D343" s="5" t="s">
        <v>101</v>
      </c>
      <c r="E343" s="5">
        <v>400</v>
      </c>
      <c r="F343" s="5">
        <v>40</v>
      </c>
      <c r="G343" s="5" t="s">
        <v>36</v>
      </c>
      <c r="H343" t="str">
        <f t="shared" si="0"/>
        <v>Blender Vitamix</v>
      </c>
    </row>
    <row r="344" spans="1:8" ht="15.75" customHeight="1" x14ac:dyDescent="0.25">
      <c r="B344" s="8" t="s">
        <v>69</v>
      </c>
      <c r="C344" s="8" t="s">
        <v>70</v>
      </c>
      <c r="D344" s="8" t="s">
        <v>71</v>
      </c>
      <c r="E344" s="8">
        <v>250</v>
      </c>
      <c r="F344" s="8">
        <v>20</v>
      </c>
      <c r="G344" s="8" t="s">
        <v>46</v>
      </c>
      <c r="H344" t="str">
        <f t="shared" si="0"/>
        <v>headphones Bose</v>
      </c>
    </row>
    <row r="345" spans="1:8" ht="15.75" customHeight="1" x14ac:dyDescent="0.25">
      <c r="B345" s="5" t="s">
        <v>102</v>
      </c>
      <c r="C345" s="5" t="s">
        <v>103</v>
      </c>
      <c r="D345" s="5" t="s">
        <v>104</v>
      </c>
      <c r="E345" s="5">
        <v>60</v>
      </c>
      <c r="F345" s="5">
        <v>30</v>
      </c>
      <c r="G345" s="5" t="s">
        <v>32</v>
      </c>
      <c r="H345" t="str">
        <f t="shared" si="0"/>
        <v>Dress Zara</v>
      </c>
    </row>
    <row r="346" spans="1:8" ht="15.75" customHeight="1" x14ac:dyDescent="0.25">
      <c r="B346" s="8" t="s">
        <v>105</v>
      </c>
      <c r="C346" s="8" t="s">
        <v>106</v>
      </c>
      <c r="D346" s="8" t="s">
        <v>107</v>
      </c>
      <c r="E346" s="8">
        <v>40</v>
      </c>
      <c r="F346" s="8">
        <v>10</v>
      </c>
      <c r="G346" s="8" t="s">
        <v>36</v>
      </c>
      <c r="H346" t="str">
        <f t="shared" si="0"/>
        <v>Toaster Hamilton</v>
      </c>
    </row>
    <row r="347" spans="1:8" ht="15.75" customHeight="1" x14ac:dyDescent="0.25">
      <c r="B347" s="5" t="s">
        <v>108</v>
      </c>
      <c r="C347" s="5" t="s">
        <v>93</v>
      </c>
      <c r="D347" s="5" t="s">
        <v>109</v>
      </c>
      <c r="E347" s="5">
        <v>130</v>
      </c>
      <c r="F347" s="5">
        <v>5</v>
      </c>
      <c r="G347" s="5" t="s">
        <v>28</v>
      </c>
      <c r="H347" t="str">
        <f t="shared" si="0"/>
        <v>Fitness Tracker Garmin</v>
      </c>
    </row>
    <row r="348" spans="1:8" ht="15.75" customHeight="1" x14ac:dyDescent="0.25">
      <c r="B348" s="8" t="s">
        <v>110</v>
      </c>
      <c r="C348" s="8" t="s">
        <v>111</v>
      </c>
      <c r="D348" s="8" t="s">
        <v>112</v>
      </c>
      <c r="E348" s="8">
        <v>50</v>
      </c>
      <c r="F348" s="8">
        <v>50</v>
      </c>
      <c r="G348" s="8" t="s">
        <v>32</v>
      </c>
      <c r="H348" t="str">
        <f t="shared" si="0"/>
        <v>Jeans Levi's</v>
      </c>
    </row>
    <row r="349" spans="1:8" ht="15.75" customHeight="1" x14ac:dyDescent="0.25">
      <c r="B349" s="5" t="s">
        <v>60</v>
      </c>
      <c r="C349" s="5" t="s">
        <v>61</v>
      </c>
      <c r="D349" s="5" t="s">
        <v>62</v>
      </c>
      <c r="E349" s="5">
        <v>950</v>
      </c>
      <c r="F349" s="5">
        <v>25</v>
      </c>
      <c r="G349" s="5" t="s">
        <v>28</v>
      </c>
      <c r="H349" t="str">
        <f t="shared" si="0"/>
        <v>Laptop HP</v>
      </c>
    </row>
    <row r="350" spans="1:8" ht="15.75" customHeight="1" x14ac:dyDescent="0.25">
      <c r="B350" s="8" t="s">
        <v>113</v>
      </c>
      <c r="C350" s="8" t="s">
        <v>114</v>
      </c>
      <c r="D350" s="8" t="s">
        <v>115</v>
      </c>
      <c r="E350" s="8">
        <v>100</v>
      </c>
      <c r="F350" s="8">
        <v>20</v>
      </c>
      <c r="G350" s="8" t="s">
        <v>75</v>
      </c>
      <c r="H350" t="str">
        <f t="shared" si="0"/>
        <v>Watch Casio</v>
      </c>
    </row>
    <row r="351" spans="1:8" ht="15.75" customHeight="1" x14ac:dyDescent="0.3">
      <c r="A351" s="2" t="s">
        <v>13</v>
      </c>
      <c r="B351" s="5"/>
      <c r="C351" s="5"/>
    </row>
    <row r="352" spans="1:8" ht="15.75" customHeight="1" x14ac:dyDescent="0.25"/>
    <row r="353" spans="1:6" ht="15.75" customHeight="1" x14ac:dyDescent="0.3">
      <c r="A353" s="5"/>
      <c r="B353" s="18" t="s">
        <v>14</v>
      </c>
      <c r="C353" s="23"/>
      <c r="D353" s="23"/>
      <c r="E353" s="5"/>
      <c r="F353" s="5"/>
    </row>
    <row r="354" spans="1:6" ht="15.75" customHeight="1" x14ac:dyDescent="0.25"/>
    <row r="355" spans="1:6" ht="15.75" customHeight="1" x14ac:dyDescent="0.25"/>
    <row r="356" spans="1:6" ht="15.75" customHeight="1" x14ac:dyDescent="0.25">
      <c r="A356" s="7" t="s">
        <v>19</v>
      </c>
      <c r="B356" s="7" t="s">
        <v>20</v>
      </c>
      <c r="C356" s="7" t="s">
        <v>21</v>
      </c>
      <c r="D356" s="7" t="s">
        <v>22</v>
      </c>
      <c r="E356" s="7" t="s">
        <v>23</v>
      </c>
      <c r="F356" s="7" t="s">
        <v>24</v>
      </c>
    </row>
    <row r="357" spans="1:6" ht="15.75" customHeight="1" x14ac:dyDescent="0.25">
      <c r="A357" s="5" t="s">
        <v>25</v>
      </c>
      <c r="B357" s="5" t="s">
        <v>26</v>
      </c>
      <c r="C357" s="5" t="s">
        <v>27</v>
      </c>
      <c r="D357" s="26">
        <v>1000</v>
      </c>
      <c r="E357" s="5">
        <v>30</v>
      </c>
      <c r="F357" s="5" t="s">
        <v>28</v>
      </c>
    </row>
    <row r="358" spans="1:6" ht="15.75" customHeight="1" x14ac:dyDescent="0.25">
      <c r="A358" s="8" t="s">
        <v>29</v>
      </c>
      <c r="B358" s="8" t="s">
        <v>30</v>
      </c>
      <c r="C358" s="8" t="s">
        <v>31</v>
      </c>
      <c r="D358" s="27">
        <v>80</v>
      </c>
      <c r="E358" s="8">
        <v>15</v>
      </c>
      <c r="F358" s="8" t="s">
        <v>32</v>
      </c>
    </row>
    <row r="359" spans="1:6" ht="15.75" customHeight="1" x14ac:dyDescent="0.25">
      <c r="A359" s="5" t="s">
        <v>33</v>
      </c>
      <c r="B359" s="5" t="s">
        <v>34</v>
      </c>
      <c r="C359" s="5" t="s">
        <v>35</v>
      </c>
      <c r="D359" s="26">
        <v>130</v>
      </c>
      <c r="E359" s="5">
        <v>40</v>
      </c>
      <c r="F359" s="5" t="s">
        <v>36</v>
      </c>
    </row>
    <row r="360" spans="1:6" ht="15.75" customHeight="1" x14ac:dyDescent="0.25">
      <c r="A360" s="8" t="s">
        <v>37</v>
      </c>
      <c r="B360" s="8" t="s">
        <v>38</v>
      </c>
      <c r="C360" s="8" t="s">
        <v>39</v>
      </c>
      <c r="D360" s="27">
        <v>900</v>
      </c>
      <c r="E360" s="8">
        <v>25</v>
      </c>
      <c r="F360" s="8" t="s">
        <v>28</v>
      </c>
    </row>
    <row r="361" spans="1:6" ht="15.75" customHeight="1" x14ac:dyDescent="0.25">
      <c r="A361" s="5" t="s">
        <v>40</v>
      </c>
      <c r="B361" s="5" t="s">
        <v>41</v>
      </c>
      <c r="C361" s="5" t="s">
        <v>42</v>
      </c>
      <c r="D361" s="26">
        <v>70</v>
      </c>
      <c r="E361" s="5">
        <v>20</v>
      </c>
      <c r="F361" s="5"/>
    </row>
    <row r="362" spans="1:6" ht="15.75" customHeight="1" x14ac:dyDescent="0.25">
      <c r="A362" s="8" t="s">
        <v>43</v>
      </c>
      <c r="B362" s="8" t="s">
        <v>44</v>
      </c>
      <c r="C362" s="8" t="s">
        <v>45</v>
      </c>
      <c r="D362" s="27"/>
      <c r="E362" s="8">
        <v>45</v>
      </c>
      <c r="F362" s="8" t="s">
        <v>46</v>
      </c>
    </row>
    <row r="363" spans="1:6" ht="15.75" customHeight="1" x14ac:dyDescent="0.25">
      <c r="A363" s="5" t="s">
        <v>47</v>
      </c>
      <c r="B363" s="5" t="s">
        <v>48</v>
      </c>
      <c r="C363" s="5" t="s">
        <v>49</v>
      </c>
      <c r="D363" s="26">
        <v>30</v>
      </c>
      <c r="E363" s="5">
        <v>5</v>
      </c>
      <c r="F363" s="5" t="s">
        <v>32</v>
      </c>
    </row>
    <row r="364" spans="1:6" ht="15.75" customHeight="1" x14ac:dyDescent="0.25">
      <c r="A364" s="8" t="s">
        <v>50</v>
      </c>
      <c r="B364" s="8" t="s">
        <v>51</v>
      </c>
      <c r="C364" s="8" t="s">
        <v>52</v>
      </c>
      <c r="D364" s="27">
        <v>90</v>
      </c>
      <c r="E364" s="8">
        <v>35</v>
      </c>
      <c r="F364" s="8" t="s">
        <v>36</v>
      </c>
    </row>
    <row r="365" spans="1:6" ht="15.75" customHeight="1" x14ac:dyDescent="0.25">
      <c r="A365" s="5" t="s">
        <v>53</v>
      </c>
      <c r="B365" s="5" t="s">
        <v>54</v>
      </c>
      <c r="C365" s="5" t="s">
        <v>55</v>
      </c>
      <c r="D365" s="26">
        <v>500</v>
      </c>
      <c r="E365" s="5">
        <v>50</v>
      </c>
      <c r="F365" s="5" t="s">
        <v>28</v>
      </c>
    </row>
    <row r="366" spans="1:6" ht="15.75" customHeight="1" x14ac:dyDescent="0.25">
      <c r="A366" s="8" t="s">
        <v>56</v>
      </c>
      <c r="B366" s="8" t="s">
        <v>57</v>
      </c>
      <c r="C366" s="8" t="s">
        <v>58</v>
      </c>
      <c r="D366" s="27">
        <v>130</v>
      </c>
      <c r="E366" s="8">
        <v>10</v>
      </c>
      <c r="F366" s="8" t="s">
        <v>59</v>
      </c>
    </row>
    <row r="367" spans="1:6" ht="15.75" customHeight="1" x14ac:dyDescent="0.25">
      <c r="A367" s="5" t="s">
        <v>60</v>
      </c>
      <c r="B367" s="5" t="s">
        <v>61</v>
      </c>
      <c r="C367" s="5" t="s">
        <v>62</v>
      </c>
      <c r="D367" s="26">
        <v>950</v>
      </c>
      <c r="E367" s="5">
        <v>25</v>
      </c>
      <c r="F367" s="5" t="s">
        <v>28</v>
      </c>
    </row>
    <row r="368" spans="1:6" ht="15.75" customHeight="1" x14ac:dyDescent="0.25">
      <c r="A368" s="8" t="s">
        <v>63</v>
      </c>
      <c r="B368" s="8" t="s">
        <v>30</v>
      </c>
      <c r="C368" s="8" t="s">
        <v>49</v>
      </c>
      <c r="D368" s="27">
        <v>90</v>
      </c>
      <c r="E368" s="8">
        <v>40</v>
      </c>
      <c r="F368" s="8"/>
    </row>
    <row r="369" spans="1:6" ht="15.75" customHeight="1" x14ac:dyDescent="0.25">
      <c r="A369" s="5" t="s">
        <v>64</v>
      </c>
      <c r="B369" s="5" t="s">
        <v>34</v>
      </c>
      <c r="C369" s="5" t="s">
        <v>65</v>
      </c>
      <c r="D369" s="26">
        <v>120</v>
      </c>
      <c r="E369" s="5">
        <v>35</v>
      </c>
      <c r="F369" s="5"/>
    </row>
    <row r="370" spans="1:6" ht="15.75" customHeight="1" x14ac:dyDescent="0.25">
      <c r="A370" s="8" t="s">
        <v>66</v>
      </c>
      <c r="B370" s="8" t="s">
        <v>67</v>
      </c>
      <c r="C370" s="8" t="s">
        <v>68</v>
      </c>
      <c r="D370" s="27">
        <v>150</v>
      </c>
      <c r="E370" s="8">
        <v>15</v>
      </c>
      <c r="F370" s="8" t="s">
        <v>46</v>
      </c>
    </row>
    <row r="371" spans="1:6" ht="15.75" customHeight="1" x14ac:dyDescent="0.25">
      <c r="A371" s="5" t="s">
        <v>69</v>
      </c>
      <c r="B371" s="5" t="s">
        <v>70</v>
      </c>
      <c r="C371" s="5" t="s">
        <v>71</v>
      </c>
      <c r="D371" s="26">
        <v>250</v>
      </c>
      <c r="E371" s="5">
        <v>20</v>
      </c>
      <c r="F371" s="5" t="s">
        <v>46</v>
      </c>
    </row>
    <row r="372" spans="1:6" ht="15.75" customHeight="1" x14ac:dyDescent="0.25">
      <c r="A372" s="8" t="s">
        <v>72</v>
      </c>
      <c r="B372" s="8" t="s">
        <v>73</v>
      </c>
      <c r="C372" s="8" t="s">
        <v>74</v>
      </c>
      <c r="D372" s="27">
        <v>50</v>
      </c>
      <c r="E372" s="8">
        <v>35</v>
      </c>
      <c r="F372" s="8" t="s">
        <v>75</v>
      </c>
    </row>
    <row r="373" spans="1:6" ht="15.75" customHeight="1" x14ac:dyDescent="0.25">
      <c r="A373" s="5" t="s">
        <v>76</v>
      </c>
      <c r="B373" s="5" t="s">
        <v>67</v>
      </c>
      <c r="C373" s="5" t="s">
        <v>77</v>
      </c>
      <c r="D373" s="26">
        <v>160</v>
      </c>
      <c r="E373" s="5">
        <v>15</v>
      </c>
      <c r="F373" s="5" t="s">
        <v>46</v>
      </c>
    </row>
    <row r="374" spans="1:6" ht="15.75" customHeight="1" x14ac:dyDescent="0.25">
      <c r="A374" s="8" t="s">
        <v>78</v>
      </c>
      <c r="B374" s="8" t="s">
        <v>26</v>
      </c>
      <c r="C374" s="8" t="s">
        <v>79</v>
      </c>
      <c r="D374" s="27">
        <v>980</v>
      </c>
      <c r="E374" s="8">
        <v>10</v>
      </c>
      <c r="F374" s="8" t="s">
        <v>28</v>
      </c>
    </row>
    <row r="375" spans="1:6" ht="15.75" customHeight="1" x14ac:dyDescent="0.25">
      <c r="A375" s="5" t="s">
        <v>80</v>
      </c>
      <c r="B375" s="5" t="s">
        <v>81</v>
      </c>
      <c r="C375" s="5" t="s">
        <v>82</v>
      </c>
      <c r="D375" s="26">
        <v>150</v>
      </c>
      <c r="E375" s="5">
        <v>15</v>
      </c>
      <c r="F375" s="5" t="s">
        <v>32</v>
      </c>
    </row>
    <row r="376" spans="1:6" ht="15.75" customHeight="1" x14ac:dyDescent="0.25">
      <c r="A376" s="8" t="s">
        <v>83</v>
      </c>
      <c r="B376" s="8" t="s">
        <v>84</v>
      </c>
      <c r="C376" s="8" t="s">
        <v>85</v>
      </c>
      <c r="D376" s="27"/>
      <c r="E376" s="8">
        <v>10</v>
      </c>
      <c r="F376" s="8" t="s">
        <v>59</v>
      </c>
    </row>
    <row r="377" spans="1:6" ht="15.75" customHeight="1" x14ac:dyDescent="0.25">
      <c r="A377" s="5" t="s">
        <v>86</v>
      </c>
      <c r="B377" s="5" t="s">
        <v>87</v>
      </c>
      <c r="C377" s="5" t="s">
        <v>88</v>
      </c>
      <c r="D377" s="26">
        <v>700</v>
      </c>
      <c r="E377" s="5">
        <v>50</v>
      </c>
      <c r="F377" s="5" t="s">
        <v>28</v>
      </c>
    </row>
    <row r="378" spans="1:6" ht="15.75" customHeight="1" x14ac:dyDescent="0.25">
      <c r="A378" s="8" t="s">
        <v>89</v>
      </c>
      <c r="B378" s="8" t="s">
        <v>90</v>
      </c>
      <c r="C378" s="8" t="s">
        <v>91</v>
      </c>
      <c r="D378" s="27">
        <v>80</v>
      </c>
      <c r="E378" s="8">
        <v>20</v>
      </c>
      <c r="F378" s="8" t="s">
        <v>36</v>
      </c>
    </row>
    <row r="379" spans="1:6" ht="15.75" customHeight="1" x14ac:dyDescent="0.25">
      <c r="A379" s="5" t="s">
        <v>92</v>
      </c>
      <c r="B379" s="5" t="s">
        <v>93</v>
      </c>
      <c r="C379" s="5" t="s">
        <v>94</v>
      </c>
      <c r="D379" s="26">
        <v>150</v>
      </c>
      <c r="E379" s="5">
        <v>30</v>
      </c>
      <c r="F379" s="5"/>
    </row>
    <row r="380" spans="1:6" ht="15.75" customHeight="1" x14ac:dyDescent="0.25">
      <c r="A380" s="8" t="s">
        <v>72</v>
      </c>
      <c r="B380" s="8" t="s">
        <v>73</v>
      </c>
      <c r="C380" s="8" t="s">
        <v>74</v>
      </c>
      <c r="D380" s="27">
        <v>50</v>
      </c>
      <c r="E380" s="8">
        <v>35</v>
      </c>
      <c r="F380" s="8" t="s">
        <v>75</v>
      </c>
    </row>
    <row r="381" spans="1:6" ht="15.75" customHeight="1" x14ac:dyDescent="0.25">
      <c r="A381" s="5" t="s">
        <v>95</v>
      </c>
      <c r="B381" s="5" t="s">
        <v>96</v>
      </c>
      <c r="C381" s="5" t="s">
        <v>97</v>
      </c>
      <c r="D381" s="26">
        <v>800</v>
      </c>
      <c r="E381" s="5">
        <v>45</v>
      </c>
      <c r="F381" s="5" t="s">
        <v>28</v>
      </c>
    </row>
    <row r="382" spans="1:6" ht="15.75" customHeight="1" x14ac:dyDescent="0.25">
      <c r="A382" s="8" t="s">
        <v>98</v>
      </c>
      <c r="B382" s="8" t="s">
        <v>81</v>
      </c>
      <c r="C382" s="8" t="s">
        <v>99</v>
      </c>
      <c r="D382" s="27"/>
      <c r="E382" s="8">
        <v>25</v>
      </c>
      <c r="F382" s="8" t="s">
        <v>32</v>
      </c>
    </row>
    <row r="383" spans="1:6" ht="15.75" customHeight="1" x14ac:dyDescent="0.25">
      <c r="A383" s="5" t="s">
        <v>100</v>
      </c>
      <c r="B383" s="5" t="s">
        <v>51</v>
      </c>
      <c r="C383" s="5" t="s">
        <v>101</v>
      </c>
      <c r="D383" s="26">
        <v>400</v>
      </c>
      <c r="E383" s="5">
        <v>40</v>
      </c>
      <c r="F383" s="5" t="s">
        <v>36</v>
      </c>
    </row>
    <row r="384" spans="1:6" ht="15.75" customHeight="1" x14ac:dyDescent="0.25">
      <c r="A384" s="8" t="s">
        <v>69</v>
      </c>
      <c r="B384" s="8" t="s">
        <v>70</v>
      </c>
      <c r="C384" s="8" t="s">
        <v>71</v>
      </c>
      <c r="D384" s="27">
        <v>250</v>
      </c>
      <c r="E384" s="8">
        <v>20</v>
      </c>
      <c r="F384" s="8" t="s">
        <v>46</v>
      </c>
    </row>
    <row r="385" spans="1:7" ht="15.75" customHeight="1" x14ac:dyDescent="0.25">
      <c r="A385" s="5" t="s">
        <v>102</v>
      </c>
      <c r="B385" s="5" t="s">
        <v>103</v>
      </c>
      <c r="C385" s="5" t="s">
        <v>104</v>
      </c>
      <c r="D385" s="26">
        <v>60</v>
      </c>
      <c r="E385" s="5">
        <v>30</v>
      </c>
      <c r="F385" s="5" t="s">
        <v>32</v>
      </c>
    </row>
    <row r="386" spans="1:7" ht="15.75" customHeight="1" x14ac:dyDescent="0.25">
      <c r="A386" s="8" t="s">
        <v>105</v>
      </c>
      <c r="B386" s="8" t="s">
        <v>106</v>
      </c>
      <c r="C386" s="8" t="s">
        <v>107</v>
      </c>
      <c r="D386" s="27">
        <v>40</v>
      </c>
      <c r="E386" s="8">
        <v>10</v>
      </c>
      <c r="F386" s="8" t="s">
        <v>36</v>
      </c>
    </row>
    <row r="387" spans="1:7" ht="15.75" customHeight="1" x14ac:dyDescent="0.25">
      <c r="A387" s="5" t="s">
        <v>108</v>
      </c>
      <c r="B387" s="5" t="s">
        <v>93</v>
      </c>
      <c r="C387" s="5" t="s">
        <v>109</v>
      </c>
      <c r="D387" s="26">
        <v>130</v>
      </c>
      <c r="E387" s="5">
        <v>5</v>
      </c>
      <c r="F387" s="5" t="s">
        <v>28</v>
      </c>
    </row>
    <row r="388" spans="1:7" ht="15.75" customHeight="1" x14ac:dyDescent="0.25">
      <c r="A388" s="8" t="s">
        <v>110</v>
      </c>
      <c r="B388" s="8" t="s">
        <v>111</v>
      </c>
      <c r="C388" s="8" t="s">
        <v>112</v>
      </c>
      <c r="D388" s="27">
        <v>50</v>
      </c>
      <c r="E388" s="8">
        <v>50</v>
      </c>
      <c r="F388" s="8" t="s">
        <v>32</v>
      </c>
    </row>
    <row r="389" spans="1:7" ht="15.75" customHeight="1" x14ac:dyDescent="0.25">
      <c r="A389" s="5" t="s">
        <v>60</v>
      </c>
      <c r="B389" s="5" t="s">
        <v>61</v>
      </c>
      <c r="C389" s="5" t="s">
        <v>62</v>
      </c>
      <c r="D389" s="26">
        <v>950</v>
      </c>
      <c r="E389" s="5">
        <v>25</v>
      </c>
      <c r="F389" s="5" t="s">
        <v>28</v>
      </c>
    </row>
    <row r="390" spans="1:7" ht="15.75" customHeight="1" x14ac:dyDescent="0.25">
      <c r="A390" s="8" t="s">
        <v>113</v>
      </c>
      <c r="B390" s="8" t="s">
        <v>114</v>
      </c>
      <c r="C390" s="8" t="s">
        <v>115</v>
      </c>
      <c r="D390" s="27">
        <v>100</v>
      </c>
      <c r="E390" s="8">
        <v>20</v>
      </c>
      <c r="F390" s="8" t="s">
        <v>75</v>
      </c>
    </row>
    <row r="391" spans="1:7" ht="15.75" customHeight="1" x14ac:dyDescent="0.25"/>
    <row r="392" spans="1:7" ht="15.75" customHeight="1" x14ac:dyDescent="0.3">
      <c r="A392" s="18" t="s">
        <v>15</v>
      </c>
      <c r="B392" s="23"/>
      <c r="C392" s="23"/>
      <c r="D392" s="23"/>
      <c r="E392" s="23"/>
      <c r="F392" s="5"/>
      <c r="G392" s="5"/>
    </row>
    <row r="393" spans="1:7" ht="15.75" customHeight="1" x14ac:dyDescent="0.25"/>
    <row r="394" spans="1:7" ht="15.75" customHeight="1" x14ac:dyDescent="0.25"/>
    <row r="395" spans="1:7" ht="15.75" customHeight="1" x14ac:dyDescent="0.25">
      <c r="A395" s="7" t="s">
        <v>136</v>
      </c>
      <c r="B395" s="7" t="s">
        <v>138</v>
      </c>
      <c r="C395" s="7" t="s">
        <v>21</v>
      </c>
      <c r="D395" s="7" t="s">
        <v>22</v>
      </c>
      <c r="E395" s="7" t="s">
        <v>23</v>
      </c>
      <c r="F395" s="7" t="s">
        <v>24</v>
      </c>
      <c r="G395" s="7" t="s">
        <v>20</v>
      </c>
    </row>
    <row r="396" spans="1:7" ht="15.75" customHeight="1" x14ac:dyDescent="0.25">
      <c r="A396" s="29">
        <v>46050</v>
      </c>
      <c r="B396" s="5" t="s">
        <v>124</v>
      </c>
      <c r="C396" s="5" t="s">
        <v>27</v>
      </c>
      <c r="D396" s="5">
        <v>1000</v>
      </c>
      <c r="E396" s="5">
        <v>30</v>
      </c>
      <c r="F396" s="5" t="s">
        <v>28</v>
      </c>
      <c r="G396" s="5" t="s">
        <v>26</v>
      </c>
    </row>
    <row r="397" spans="1:7" ht="15.75" customHeight="1" x14ac:dyDescent="0.25">
      <c r="A397" s="30">
        <v>46068</v>
      </c>
      <c r="B397" s="8" t="s">
        <v>124</v>
      </c>
      <c r="C397" s="8" t="s">
        <v>31</v>
      </c>
      <c r="D397" s="8">
        <v>80</v>
      </c>
      <c r="E397" s="8">
        <v>15</v>
      </c>
      <c r="F397" s="8" t="s">
        <v>32</v>
      </c>
      <c r="G397" s="8" t="s">
        <v>30</v>
      </c>
    </row>
    <row r="398" spans="1:7" ht="15.75" customHeight="1" x14ac:dyDescent="0.25">
      <c r="A398" s="29">
        <v>46084</v>
      </c>
      <c r="B398" s="5" t="s">
        <v>124</v>
      </c>
      <c r="C398" s="5" t="s">
        <v>35</v>
      </c>
      <c r="D398" s="5">
        <v>130</v>
      </c>
      <c r="E398" s="5">
        <v>40</v>
      </c>
      <c r="F398" s="5" t="s">
        <v>36</v>
      </c>
      <c r="G398" s="5" t="s">
        <v>34</v>
      </c>
    </row>
    <row r="399" spans="1:7" ht="15.75" customHeight="1" x14ac:dyDescent="0.25">
      <c r="A399" s="30">
        <v>46123</v>
      </c>
      <c r="B399" s="8" t="s">
        <v>124</v>
      </c>
      <c r="C399" s="8" t="s">
        <v>39</v>
      </c>
      <c r="D399" s="8">
        <v>900</v>
      </c>
      <c r="E399" s="8">
        <v>25</v>
      </c>
      <c r="F399" s="8" t="s">
        <v>28</v>
      </c>
      <c r="G399" s="8" t="s">
        <v>38</v>
      </c>
    </row>
    <row r="400" spans="1:7" ht="15.75" customHeight="1" x14ac:dyDescent="0.25">
      <c r="A400" s="29">
        <v>46164</v>
      </c>
      <c r="B400" s="5" t="s">
        <v>124</v>
      </c>
      <c r="C400" s="5" t="s">
        <v>42</v>
      </c>
      <c r="D400" s="5">
        <v>70</v>
      </c>
      <c r="E400" s="5">
        <v>20</v>
      </c>
      <c r="F400" s="5"/>
      <c r="G400" s="5" t="s">
        <v>41</v>
      </c>
    </row>
    <row r="401" spans="1:7" ht="15.75" customHeight="1" x14ac:dyDescent="0.25">
      <c r="A401" s="30">
        <v>46180</v>
      </c>
      <c r="B401" s="8" t="s">
        <v>125</v>
      </c>
      <c r="C401" s="8" t="s">
        <v>45</v>
      </c>
      <c r="D401" s="14">
        <f>AVERAGE(D396:D400)</f>
        <v>436</v>
      </c>
      <c r="E401" s="8">
        <v>45</v>
      </c>
      <c r="F401" s="8" t="s">
        <v>46</v>
      </c>
      <c r="G401" s="8" t="s">
        <v>44</v>
      </c>
    </row>
    <row r="402" spans="1:7" ht="15.75" customHeight="1" x14ac:dyDescent="0.25">
      <c r="A402" s="29">
        <v>46222</v>
      </c>
      <c r="B402" s="5" t="s">
        <v>125</v>
      </c>
      <c r="C402" s="5" t="s">
        <v>49</v>
      </c>
      <c r="D402" s="5">
        <v>30</v>
      </c>
      <c r="E402" s="5">
        <v>5</v>
      </c>
      <c r="F402" s="5" t="s">
        <v>32</v>
      </c>
      <c r="G402" s="5" t="s">
        <v>48</v>
      </c>
    </row>
    <row r="403" spans="1:7" ht="15.75" customHeight="1" x14ac:dyDescent="0.25">
      <c r="A403" s="30">
        <v>46257</v>
      </c>
      <c r="B403" s="8" t="s">
        <v>125</v>
      </c>
      <c r="C403" s="8" t="s">
        <v>52</v>
      </c>
      <c r="D403" s="8">
        <v>90</v>
      </c>
      <c r="E403" s="8">
        <v>35</v>
      </c>
      <c r="F403" s="8" t="s">
        <v>36</v>
      </c>
      <c r="G403" s="8" t="s">
        <v>51</v>
      </c>
    </row>
    <row r="404" spans="1:7" ht="15.75" customHeight="1" x14ac:dyDescent="0.25">
      <c r="A404" s="29">
        <v>46270</v>
      </c>
      <c r="B404" s="5" t="s">
        <v>125</v>
      </c>
      <c r="C404" s="5" t="s">
        <v>55</v>
      </c>
      <c r="D404" s="5">
        <v>500</v>
      </c>
      <c r="E404" s="5">
        <v>50</v>
      </c>
      <c r="F404" s="5" t="s">
        <v>28</v>
      </c>
      <c r="G404" s="5" t="s">
        <v>54</v>
      </c>
    </row>
    <row r="405" spans="1:7" ht="15.75" customHeight="1" x14ac:dyDescent="0.25">
      <c r="A405" s="30">
        <v>46309</v>
      </c>
      <c r="B405" s="8" t="s">
        <v>125</v>
      </c>
      <c r="C405" s="8" t="s">
        <v>58</v>
      </c>
      <c r="D405" s="8">
        <v>130</v>
      </c>
      <c r="E405" s="8">
        <v>10</v>
      </c>
      <c r="F405" s="8" t="s">
        <v>59</v>
      </c>
      <c r="G405" s="8" t="s">
        <v>57</v>
      </c>
    </row>
    <row r="406" spans="1:7" ht="15.75" customHeight="1" x14ac:dyDescent="0.25">
      <c r="A406" s="29">
        <v>46190</v>
      </c>
      <c r="B406" s="5" t="s">
        <v>126</v>
      </c>
      <c r="C406" s="5" t="s">
        <v>62</v>
      </c>
      <c r="D406" s="5">
        <v>950</v>
      </c>
      <c r="E406" s="5">
        <v>25</v>
      </c>
      <c r="F406" s="5" t="s">
        <v>28</v>
      </c>
      <c r="G406" s="5" t="s">
        <v>61</v>
      </c>
    </row>
    <row r="407" spans="1:7" ht="15.75" customHeight="1" x14ac:dyDescent="0.25">
      <c r="A407" s="30">
        <v>46351</v>
      </c>
      <c r="B407" s="8" t="s">
        <v>127</v>
      </c>
      <c r="C407" s="8" t="s">
        <v>49</v>
      </c>
      <c r="D407" s="8">
        <v>90</v>
      </c>
      <c r="E407" s="8">
        <v>40</v>
      </c>
      <c r="F407" s="8"/>
      <c r="G407" s="8" t="s">
        <v>30</v>
      </c>
    </row>
    <row r="408" spans="1:7" ht="15.75" customHeight="1" x14ac:dyDescent="0.25">
      <c r="A408" s="29">
        <v>46364</v>
      </c>
      <c r="B408" s="5" t="s">
        <v>128</v>
      </c>
      <c r="C408" s="5" t="s">
        <v>65</v>
      </c>
      <c r="D408" s="5">
        <v>120</v>
      </c>
      <c r="E408" s="5">
        <v>35</v>
      </c>
      <c r="F408" s="5"/>
      <c r="G408" s="5" t="s">
        <v>34</v>
      </c>
    </row>
    <row r="409" spans="1:7" ht="15.75" customHeight="1" x14ac:dyDescent="0.25">
      <c r="A409" s="30">
        <v>46071</v>
      </c>
      <c r="B409" s="8" t="s">
        <v>129</v>
      </c>
      <c r="C409" s="8" t="s">
        <v>68</v>
      </c>
      <c r="D409" s="8">
        <v>150</v>
      </c>
      <c r="E409" s="8">
        <v>15</v>
      </c>
      <c r="F409" s="8" t="s">
        <v>46</v>
      </c>
      <c r="G409" s="8" t="s">
        <v>67</v>
      </c>
    </row>
    <row r="410" spans="1:7" ht="15.75" customHeight="1" x14ac:dyDescent="0.25">
      <c r="A410" s="29">
        <v>46128</v>
      </c>
      <c r="B410" s="5" t="s">
        <v>130</v>
      </c>
      <c r="C410" s="5" t="s">
        <v>71</v>
      </c>
      <c r="D410" s="5">
        <v>250</v>
      </c>
      <c r="E410" s="5">
        <v>20</v>
      </c>
      <c r="F410" s="5" t="s">
        <v>46</v>
      </c>
      <c r="G410" s="5" t="s">
        <v>70</v>
      </c>
    </row>
    <row r="411" spans="1:7" ht="15.75" customHeight="1" x14ac:dyDescent="0.25">
      <c r="A411" s="30">
        <v>46255</v>
      </c>
      <c r="B411" s="8" t="s">
        <v>129</v>
      </c>
      <c r="C411" s="8" t="s">
        <v>74</v>
      </c>
      <c r="D411" s="8">
        <v>50</v>
      </c>
      <c r="E411" s="8">
        <v>35</v>
      </c>
      <c r="F411" s="8" t="s">
        <v>75</v>
      </c>
      <c r="G411" s="8" t="s">
        <v>73</v>
      </c>
    </row>
    <row r="412" spans="1:7" ht="15.75" customHeight="1" x14ac:dyDescent="0.25">
      <c r="A412" s="29">
        <v>46254</v>
      </c>
      <c r="B412" s="5" t="s">
        <v>131</v>
      </c>
      <c r="C412" s="5" t="s">
        <v>77</v>
      </c>
      <c r="D412" s="5">
        <v>160</v>
      </c>
      <c r="E412" s="5">
        <v>15</v>
      </c>
      <c r="F412" s="5" t="s">
        <v>46</v>
      </c>
      <c r="G412" s="5" t="s">
        <v>67</v>
      </c>
    </row>
    <row r="413" spans="1:7" ht="15.75" customHeight="1" x14ac:dyDescent="0.25">
      <c r="A413" s="30">
        <v>46049</v>
      </c>
      <c r="B413" s="8" t="s">
        <v>132</v>
      </c>
      <c r="C413" s="8" t="s">
        <v>79</v>
      </c>
      <c r="D413" s="8">
        <v>980</v>
      </c>
      <c r="E413" s="8">
        <v>10</v>
      </c>
      <c r="F413" s="8" t="s">
        <v>28</v>
      </c>
      <c r="G413" s="8" t="s">
        <v>26</v>
      </c>
    </row>
    <row r="414" spans="1:7" ht="15.75" customHeight="1" x14ac:dyDescent="0.25">
      <c r="A414" s="29">
        <v>46082</v>
      </c>
      <c r="B414" s="5" t="s">
        <v>125</v>
      </c>
      <c r="C414" s="5" t="s">
        <v>82</v>
      </c>
      <c r="D414" s="5">
        <v>150</v>
      </c>
      <c r="E414" s="5">
        <v>15</v>
      </c>
      <c r="F414" s="5" t="s">
        <v>32</v>
      </c>
      <c r="G414" s="5" t="s">
        <v>81</v>
      </c>
    </row>
    <row r="415" spans="1:7" ht="15.75" customHeight="1" x14ac:dyDescent="0.25">
      <c r="A415" s="30">
        <v>46248</v>
      </c>
      <c r="B415" s="8" t="s">
        <v>124</v>
      </c>
      <c r="C415" s="8" t="s">
        <v>85</v>
      </c>
      <c r="D415" s="14">
        <f>AVERAGE(D410:D414)</f>
        <v>318</v>
      </c>
      <c r="E415" s="8">
        <v>10</v>
      </c>
      <c r="F415" s="8" t="s">
        <v>59</v>
      </c>
      <c r="G415" s="8" t="s">
        <v>84</v>
      </c>
    </row>
    <row r="416" spans="1:7" ht="15.75" customHeight="1" x14ac:dyDescent="0.25">
      <c r="A416" s="29">
        <v>46156</v>
      </c>
      <c r="B416" s="5" t="s">
        <v>133</v>
      </c>
      <c r="C416" s="5" t="s">
        <v>88</v>
      </c>
      <c r="D416" s="5">
        <v>700</v>
      </c>
      <c r="E416" s="5">
        <v>50</v>
      </c>
      <c r="F416" s="5" t="s">
        <v>28</v>
      </c>
      <c r="G416" s="5" t="s">
        <v>87</v>
      </c>
    </row>
    <row r="417" spans="1:8" ht="15.75" customHeight="1" x14ac:dyDescent="0.25">
      <c r="A417" s="30">
        <v>46031</v>
      </c>
      <c r="B417" s="8" t="s">
        <v>129</v>
      </c>
      <c r="C417" s="8" t="s">
        <v>91</v>
      </c>
      <c r="D417" s="8">
        <v>80</v>
      </c>
      <c r="E417" s="8">
        <v>20</v>
      </c>
      <c r="F417" s="8" t="s">
        <v>36</v>
      </c>
      <c r="G417" s="8" t="s">
        <v>90</v>
      </c>
    </row>
    <row r="418" spans="1:8" ht="15.75" customHeight="1" x14ac:dyDescent="0.25">
      <c r="A418" s="29">
        <v>46222</v>
      </c>
      <c r="B418" s="5" t="s">
        <v>134</v>
      </c>
      <c r="C418" s="5" t="s">
        <v>94</v>
      </c>
      <c r="D418" s="5">
        <v>150</v>
      </c>
      <c r="E418" s="5">
        <v>30</v>
      </c>
      <c r="F418" s="5"/>
      <c r="G418" s="5" t="s">
        <v>93</v>
      </c>
    </row>
    <row r="419" spans="1:8" ht="15.75" customHeight="1" x14ac:dyDescent="0.25">
      <c r="A419" s="30">
        <v>46255</v>
      </c>
      <c r="B419" s="8" t="s">
        <v>129</v>
      </c>
      <c r="C419" s="8" t="s">
        <v>74</v>
      </c>
      <c r="D419" s="8">
        <v>50</v>
      </c>
      <c r="E419" s="8">
        <v>35</v>
      </c>
      <c r="F419" s="8" t="s">
        <v>75</v>
      </c>
      <c r="G419" s="8" t="s">
        <v>73</v>
      </c>
      <c r="H419" s="16" t="s">
        <v>139</v>
      </c>
    </row>
    <row r="420" spans="1:8" ht="15.75" customHeight="1" x14ac:dyDescent="0.25">
      <c r="A420" s="29">
        <v>46294</v>
      </c>
      <c r="B420" s="5" t="s">
        <v>129</v>
      </c>
      <c r="C420" s="5" t="s">
        <v>97</v>
      </c>
      <c r="D420" s="5">
        <v>800</v>
      </c>
      <c r="E420" s="5">
        <v>45</v>
      </c>
      <c r="F420" s="5" t="s">
        <v>28</v>
      </c>
      <c r="G420" s="5" t="s">
        <v>96</v>
      </c>
    </row>
    <row r="421" spans="1:8" ht="15.75" customHeight="1" x14ac:dyDescent="0.25">
      <c r="A421" s="30">
        <v>46176</v>
      </c>
      <c r="B421" s="8" t="s">
        <v>129</v>
      </c>
      <c r="C421" s="8" t="s">
        <v>99</v>
      </c>
      <c r="D421" s="14">
        <f>AVERAGE(D416:D420)</f>
        <v>356</v>
      </c>
      <c r="E421" s="8">
        <v>25</v>
      </c>
      <c r="F421" s="8" t="s">
        <v>32</v>
      </c>
      <c r="G421" s="8" t="s">
        <v>81</v>
      </c>
    </row>
    <row r="422" spans="1:8" ht="15.75" customHeight="1" x14ac:dyDescent="0.25">
      <c r="A422" s="29">
        <v>46214</v>
      </c>
      <c r="B422" s="5" t="s">
        <v>129</v>
      </c>
      <c r="C422" s="5" t="s">
        <v>101</v>
      </c>
      <c r="D422" s="5">
        <v>400</v>
      </c>
      <c r="E422" s="5">
        <v>40</v>
      </c>
      <c r="F422" s="5" t="s">
        <v>36</v>
      </c>
      <c r="G422" s="5" t="s">
        <v>51</v>
      </c>
    </row>
    <row r="423" spans="1:8" ht="15.75" customHeight="1" x14ac:dyDescent="0.25">
      <c r="A423" s="30">
        <v>46128</v>
      </c>
      <c r="B423" s="8" t="s">
        <v>130</v>
      </c>
      <c r="C423" s="8" t="s">
        <v>71</v>
      </c>
      <c r="D423" s="8">
        <v>250</v>
      </c>
      <c r="E423" s="8">
        <v>20</v>
      </c>
      <c r="F423" s="8" t="s">
        <v>46</v>
      </c>
      <c r="G423" s="8" t="s">
        <v>70</v>
      </c>
    </row>
    <row r="424" spans="1:8" ht="15.75" customHeight="1" x14ac:dyDescent="0.25">
      <c r="A424" s="29">
        <v>46088</v>
      </c>
      <c r="B424" s="5" t="s">
        <v>129</v>
      </c>
      <c r="C424" s="5" t="s">
        <v>104</v>
      </c>
      <c r="D424" s="5">
        <v>60</v>
      </c>
      <c r="E424" s="5">
        <v>30</v>
      </c>
      <c r="F424" s="5" t="s">
        <v>32</v>
      </c>
      <c r="G424" s="5" t="s">
        <v>103</v>
      </c>
    </row>
    <row r="425" spans="1:8" ht="15.75" customHeight="1" x14ac:dyDescent="0.25">
      <c r="A425" s="30">
        <v>46125</v>
      </c>
      <c r="B425" s="8" t="s">
        <v>129</v>
      </c>
      <c r="C425" s="8" t="s">
        <v>107</v>
      </c>
      <c r="D425" s="8">
        <v>40</v>
      </c>
      <c r="E425" s="8">
        <v>10</v>
      </c>
      <c r="F425" s="8" t="s">
        <v>36</v>
      </c>
      <c r="G425" s="8" t="s">
        <v>106</v>
      </c>
    </row>
    <row r="426" spans="1:8" ht="15.75" customHeight="1" x14ac:dyDescent="0.25">
      <c r="A426" s="29">
        <v>46166</v>
      </c>
      <c r="B426" s="5" t="s">
        <v>129</v>
      </c>
      <c r="C426" s="5" t="s">
        <v>109</v>
      </c>
      <c r="D426" s="5">
        <v>130</v>
      </c>
      <c r="E426" s="5">
        <v>5</v>
      </c>
      <c r="F426" s="5" t="s">
        <v>28</v>
      </c>
      <c r="G426" s="5" t="s">
        <v>93</v>
      </c>
    </row>
    <row r="427" spans="1:8" ht="15.75" customHeight="1" x14ac:dyDescent="0.25">
      <c r="A427" s="30">
        <v>46358</v>
      </c>
      <c r="B427" s="8" t="s">
        <v>129</v>
      </c>
      <c r="C427" s="8" t="s">
        <v>112</v>
      </c>
      <c r="D427" s="8">
        <v>50</v>
      </c>
      <c r="E427" s="8">
        <v>50</v>
      </c>
      <c r="F427" s="8" t="s">
        <v>32</v>
      </c>
      <c r="G427" s="8" t="s">
        <v>111</v>
      </c>
    </row>
    <row r="428" spans="1:8" ht="15.75" customHeight="1" x14ac:dyDescent="0.25">
      <c r="A428" s="29">
        <v>46190</v>
      </c>
      <c r="B428" s="5" t="s">
        <v>126</v>
      </c>
      <c r="C428" s="5" t="s">
        <v>62</v>
      </c>
      <c r="D428" s="5">
        <v>950</v>
      </c>
      <c r="E428" s="5">
        <v>25</v>
      </c>
      <c r="F428" s="5" t="s">
        <v>28</v>
      </c>
      <c r="G428" s="5" t="s">
        <v>61</v>
      </c>
    </row>
    <row r="429" spans="1:8" ht="15.75" customHeight="1" x14ac:dyDescent="0.25">
      <c r="A429" s="30">
        <v>46212</v>
      </c>
      <c r="B429" s="8" t="s">
        <v>135</v>
      </c>
      <c r="C429" s="8" t="s">
        <v>115</v>
      </c>
      <c r="D429" s="8">
        <v>100</v>
      </c>
      <c r="E429" s="8">
        <v>20</v>
      </c>
      <c r="F429" s="8" t="s">
        <v>75</v>
      </c>
      <c r="G429" s="8" t="s">
        <v>114</v>
      </c>
    </row>
    <row r="430" spans="1:8" ht="15.75" customHeight="1" x14ac:dyDescent="0.25"/>
    <row r="431" spans="1:8" ht="15.75" customHeight="1" x14ac:dyDescent="0.25"/>
    <row r="432" spans="1:8" ht="15.75" customHeight="1" x14ac:dyDescent="0.25"/>
    <row r="433" spans="1:6" ht="15.75" customHeight="1" x14ac:dyDescent="0.3">
      <c r="A433" s="2" t="s">
        <v>16</v>
      </c>
      <c r="B433" s="5"/>
      <c r="C433" s="5"/>
    </row>
    <row r="434" spans="1:6" ht="15.75" customHeight="1" x14ac:dyDescent="0.25"/>
    <row r="435" spans="1:6" ht="15.75" customHeight="1" x14ac:dyDescent="0.3">
      <c r="A435" s="18" t="s">
        <v>17</v>
      </c>
      <c r="B435" s="23"/>
      <c r="C435" s="23"/>
      <c r="D435" s="23"/>
      <c r="E435" s="5"/>
      <c r="F435" s="5"/>
    </row>
    <row r="436" spans="1:6" ht="15.75" customHeight="1" x14ac:dyDescent="0.25"/>
    <row r="437" spans="1:6" ht="15.75" customHeight="1" x14ac:dyDescent="0.25"/>
    <row r="438" spans="1:6" ht="15.75" customHeight="1" x14ac:dyDescent="0.25">
      <c r="A438" s="7" t="s">
        <v>19</v>
      </c>
      <c r="B438" s="7" t="s">
        <v>20</v>
      </c>
      <c r="C438" s="7" t="s">
        <v>21</v>
      </c>
      <c r="D438" s="7" t="s">
        <v>22</v>
      </c>
      <c r="E438" s="7" t="s">
        <v>23</v>
      </c>
      <c r="F438" s="7" t="s">
        <v>24</v>
      </c>
    </row>
    <row r="439" spans="1:6" ht="15.75" customHeight="1" x14ac:dyDescent="0.25">
      <c r="A439" s="5" t="s">
        <v>25</v>
      </c>
      <c r="B439" s="5" t="s">
        <v>26</v>
      </c>
      <c r="C439" s="5" t="s">
        <v>27</v>
      </c>
      <c r="D439" s="5">
        <v>1000</v>
      </c>
      <c r="E439" s="5">
        <v>30</v>
      </c>
      <c r="F439" s="5" t="s">
        <v>28</v>
      </c>
    </row>
    <row r="440" spans="1:6" ht="15.75" customHeight="1" x14ac:dyDescent="0.25">
      <c r="A440" s="8" t="s">
        <v>29</v>
      </c>
      <c r="B440" s="8" t="s">
        <v>30</v>
      </c>
      <c r="C440" s="8" t="s">
        <v>31</v>
      </c>
      <c r="D440" s="8">
        <v>80</v>
      </c>
      <c r="E440" s="8">
        <v>15</v>
      </c>
      <c r="F440" s="8" t="s">
        <v>32</v>
      </c>
    </row>
    <row r="441" spans="1:6" ht="15.75" customHeight="1" x14ac:dyDescent="0.25">
      <c r="A441" s="5" t="s">
        <v>33</v>
      </c>
      <c r="B441" s="5" t="s">
        <v>34</v>
      </c>
      <c r="C441" s="5" t="s">
        <v>35</v>
      </c>
      <c r="D441" s="5">
        <v>130</v>
      </c>
      <c r="E441" s="5">
        <v>40</v>
      </c>
      <c r="F441" s="5" t="s">
        <v>36</v>
      </c>
    </row>
    <row r="442" spans="1:6" ht="15.75" customHeight="1" x14ac:dyDescent="0.25">
      <c r="A442" s="8" t="s">
        <v>37</v>
      </c>
      <c r="B442" s="8" t="s">
        <v>38</v>
      </c>
      <c r="C442" s="8" t="s">
        <v>39</v>
      </c>
      <c r="D442" s="8">
        <v>900</v>
      </c>
      <c r="E442" s="8">
        <v>25</v>
      </c>
      <c r="F442" s="8" t="s">
        <v>28</v>
      </c>
    </row>
    <row r="443" spans="1:6" ht="15.75" customHeight="1" x14ac:dyDescent="0.25">
      <c r="A443" s="5" t="s">
        <v>40</v>
      </c>
      <c r="B443" s="5" t="s">
        <v>41</v>
      </c>
      <c r="C443" s="5" t="s">
        <v>42</v>
      </c>
      <c r="D443" s="5">
        <v>70</v>
      </c>
      <c r="E443" s="5">
        <v>20</v>
      </c>
      <c r="F443" s="5"/>
    </row>
    <row r="444" spans="1:6" ht="15.75" customHeight="1" x14ac:dyDescent="0.25">
      <c r="A444" s="8" t="s">
        <v>43</v>
      </c>
      <c r="B444" s="8" t="s">
        <v>44</v>
      </c>
      <c r="C444" s="8" t="s">
        <v>45</v>
      </c>
      <c r="D444" s="14">
        <f>AVERAGE(D439:D443)</f>
        <v>436</v>
      </c>
      <c r="E444" s="8">
        <v>45</v>
      </c>
      <c r="F444" s="8" t="s">
        <v>46</v>
      </c>
    </row>
    <row r="445" spans="1:6" ht="15.75" customHeight="1" x14ac:dyDescent="0.25">
      <c r="A445" s="5" t="s">
        <v>47</v>
      </c>
      <c r="B445" s="5" t="s">
        <v>48</v>
      </c>
      <c r="C445" s="5" t="s">
        <v>49</v>
      </c>
      <c r="D445" s="5">
        <v>30</v>
      </c>
      <c r="E445" s="5">
        <v>5</v>
      </c>
      <c r="F445" s="5" t="s">
        <v>32</v>
      </c>
    </row>
    <row r="446" spans="1:6" ht="15.75" customHeight="1" x14ac:dyDescent="0.25">
      <c r="A446" s="8" t="s">
        <v>50</v>
      </c>
      <c r="B446" s="8" t="s">
        <v>51</v>
      </c>
      <c r="C446" s="8" t="s">
        <v>52</v>
      </c>
      <c r="D446" s="8">
        <v>90</v>
      </c>
      <c r="E446" s="8">
        <v>35</v>
      </c>
      <c r="F446" s="8" t="s">
        <v>36</v>
      </c>
    </row>
    <row r="447" spans="1:6" ht="15.75" customHeight="1" x14ac:dyDescent="0.25">
      <c r="A447" s="5" t="s">
        <v>53</v>
      </c>
      <c r="B447" s="5" t="s">
        <v>54</v>
      </c>
      <c r="C447" s="5" t="s">
        <v>55</v>
      </c>
      <c r="D447" s="5">
        <v>500</v>
      </c>
      <c r="E447" s="5">
        <v>50</v>
      </c>
      <c r="F447" s="5" t="s">
        <v>28</v>
      </c>
    </row>
    <row r="448" spans="1:6" ht="15.75" customHeight="1" x14ac:dyDescent="0.25">
      <c r="A448" s="8" t="s">
        <v>56</v>
      </c>
      <c r="B448" s="8" t="s">
        <v>57</v>
      </c>
      <c r="C448" s="8" t="s">
        <v>58</v>
      </c>
      <c r="D448" s="8">
        <v>130</v>
      </c>
      <c r="E448" s="8">
        <v>10</v>
      </c>
      <c r="F448" s="8" t="s">
        <v>59</v>
      </c>
    </row>
    <row r="449" spans="1:6" ht="15.75" customHeight="1" x14ac:dyDescent="0.25">
      <c r="A449" s="5" t="s">
        <v>60</v>
      </c>
      <c r="B449" s="5" t="s">
        <v>61</v>
      </c>
      <c r="C449" s="5" t="s">
        <v>62</v>
      </c>
      <c r="D449" s="5">
        <v>950</v>
      </c>
      <c r="E449" s="5">
        <v>25</v>
      </c>
      <c r="F449" s="5" t="s">
        <v>28</v>
      </c>
    </row>
    <row r="450" spans="1:6" ht="15.75" customHeight="1" x14ac:dyDescent="0.25">
      <c r="A450" s="8" t="s">
        <v>63</v>
      </c>
      <c r="B450" s="8" t="s">
        <v>30</v>
      </c>
      <c r="C450" s="8" t="s">
        <v>49</v>
      </c>
      <c r="D450" s="8">
        <v>90</v>
      </c>
      <c r="E450" s="8">
        <v>40</v>
      </c>
      <c r="F450" s="8"/>
    </row>
    <row r="451" spans="1:6" ht="15.75" customHeight="1" x14ac:dyDescent="0.25">
      <c r="A451" s="5" t="s">
        <v>64</v>
      </c>
      <c r="B451" s="5" t="s">
        <v>34</v>
      </c>
      <c r="C451" s="5" t="s">
        <v>65</v>
      </c>
      <c r="D451" s="5">
        <v>120</v>
      </c>
      <c r="E451" s="5">
        <v>35</v>
      </c>
      <c r="F451" s="5"/>
    </row>
    <row r="452" spans="1:6" ht="15.75" customHeight="1" x14ac:dyDescent="0.25">
      <c r="A452" s="8" t="s">
        <v>66</v>
      </c>
      <c r="B452" s="8" t="s">
        <v>67</v>
      </c>
      <c r="C452" s="8" t="s">
        <v>68</v>
      </c>
      <c r="D452" s="8">
        <v>150</v>
      </c>
      <c r="E452" s="8">
        <v>15</v>
      </c>
      <c r="F452" s="8" t="s">
        <v>46</v>
      </c>
    </row>
    <row r="453" spans="1:6" ht="15.75" customHeight="1" x14ac:dyDescent="0.25">
      <c r="A453" s="5" t="s">
        <v>69</v>
      </c>
      <c r="B453" s="5" t="s">
        <v>70</v>
      </c>
      <c r="C453" s="5" t="s">
        <v>71</v>
      </c>
      <c r="D453" s="5">
        <v>250</v>
      </c>
      <c r="E453" s="5">
        <v>20</v>
      </c>
      <c r="F453" s="5" t="s">
        <v>46</v>
      </c>
    </row>
    <row r="454" spans="1:6" ht="15.75" customHeight="1" x14ac:dyDescent="0.25">
      <c r="A454" s="8" t="s">
        <v>72</v>
      </c>
      <c r="B454" s="8" t="s">
        <v>73</v>
      </c>
      <c r="C454" s="8" t="s">
        <v>74</v>
      </c>
      <c r="D454" s="8">
        <v>50</v>
      </c>
      <c r="E454" s="8">
        <v>35</v>
      </c>
      <c r="F454" s="8" t="s">
        <v>75</v>
      </c>
    </row>
    <row r="455" spans="1:6" ht="15.75" customHeight="1" x14ac:dyDescent="0.25">
      <c r="A455" s="5" t="s">
        <v>76</v>
      </c>
      <c r="B455" s="5" t="s">
        <v>67</v>
      </c>
      <c r="C455" s="5" t="s">
        <v>77</v>
      </c>
      <c r="D455" s="5">
        <v>160</v>
      </c>
      <c r="E455" s="5">
        <v>15</v>
      </c>
      <c r="F455" s="5" t="s">
        <v>46</v>
      </c>
    </row>
    <row r="456" spans="1:6" ht="15.75" customHeight="1" x14ac:dyDescent="0.25">
      <c r="A456" s="8" t="s">
        <v>78</v>
      </c>
      <c r="B456" s="8" t="s">
        <v>26</v>
      </c>
      <c r="C456" s="8" t="s">
        <v>79</v>
      </c>
      <c r="D456" s="8">
        <v>980</v>
      </c>
      <c r="E456" s="8">
        <v>10</v>
      </c>
      <c r="F456" s="8" t="s">
        <v>28</v>
      </c>
    </row>
    <row r="457" spans="1:6" ht="15.75" customHeight="1" x14ac:dyDescent="0.25">
      <c r="A457" s="5" t="s">
        <v>80</v>
      </c>
      <c r="B457" s="5" t="s">
        <v>81</v>
      </c>
      <c r="C457" s="5" t="s">
        <v>82</v>
      </c>
      <c r="D457" s="5">
        <v>150</v>
      </c>
      <c r="E457" s="5">
        <v>15</v>
      </c>
      <c r="F457" s="5" t="s">
        <v>32</v>
      </c>
    </row>
    <row r="458" spans="1:6" ht="15.75" customHeight="1" x14ac:dyDescent="0.25">
      <c r="A458" s="8" t="s">
        <v>83</v>
      </c>
      <c r="B458" s="8" t="s">
        <v>84</v>
      </c>
      <c r="C458" s="8" t="s">
        <v>85</v>
      </c>
      <c r="D458" s="14">
        <f>AVERAGE(D453:D457)</f>
        <v>318</v>
      </c>
      <c r="E458" s="8">
        <v>10</v>
      </c>
      <c r="F458" s="8" t="s">
        <v>59</v>
      </c>
    </row>
    <row r="459" spans="1:6" ht="15.75" customHeight="1" x14ac:dyDescent="0.25">
      <c r="A459" s="5" t="s">
        <v>86</v>
      </c>
      <c r="B459" s="5" t="s">
        <v>87</v>
      </c>
      <c r="C459" s="5" t="s">
        <v>88</v>
      </c>
      <c r="D459" s="5">
        <v>700</v>
      </c>
      <c r="E459" s="5">
        <v>50</v>
      </c>
      <c r="F459" s="5" t="s">
        <v>28</v>
      </c>
    </row>
    <row r="460" spans="1:6" ht="15.75" customHeight="1" x14ac:dyDescent="0.25">
      <c r="A460" s="8" t="s">
        <v>89</v>
      </c>
      <c r="B460" s="8" t="s">
        <v>90</v>
      </c>
      <c r="C460" s="8" t="s">
        <v>91</v>
      </c>
      <c r="D460" s="8">
        <v>80</v>
      </c>
      <c r="E460" s="8">
        <v>20</v>
      </c>
      <c r="F460" s="8" t="s">
        <v>36</v>
      </c>
    </row>
    <row r="461" spans="1:6" ht="15.75" customHeight="1" x14ac:dyDescent="0.25">
      <c r="A461" s="5" t="s">
        <v>92</v>
      </c>
      <c r="B461" s="5" t="s">
        <v>93</v>
      </c>
      <c r="C461" s="5" t="s">
        <v>94</v>
      </c>
      <c r="D461" s="5">
        <v>150</v>
      </c>
      <c r="E461" s="5">
        <v>30</v>
      </c>
      <c r="F461" s="5"/>
    </row>
    <row r="462" spans="1:6" ht="15.75" customHeight="1" x14ac:dyDescent="0.25">
      <c r="A462" s="8" t="s">
        <v>72</v>
      </c>
      <c r="B462" s="8" t="s">
        <v>73</v>
      </c>
      <c r="C462" s="8" t="s">
        <v>74</v>
      </c>
      <c r="D462" s="8">
        <v>50</v>
      </c>
      <c r="E462" s="8">
        <v>35</v>
      </c>
      <c r="F462" s="8" t="s">
        <v>75</v>
      </c>
    </row>
    <row r="463" spans="1:6" ht="15.75" customHeight="1" x14ac:dyDescent="0.25">
      <c r="A463" s="5" t="s">
        <v>95</v>
      </c>
      <c r="B463" s="5" t="s">
        <v>96</v>
      </c>
      <c r="C463" s="5" t="s">
        <v>97</v>
      </c>
      <c r="D463" s="5">
        <v>800</v>
      </c>
      <c r="E463" s="5">
        <v>45</v>
      </c>
      <c r="F463" s="5" t="s">
        <v>28</v>
      </c>
    </row>
    <row r="464" spans="1:6" ht="15.75" customHeight="1" x14ac:dyDescent="0.25">
      <c r="A464" s="8" t="s">
        <v>98</v>
      </c>
      <c r="B464" s="8" t="s">
        <v>81</v>
      </c>
      <c r="C464" s="8" t="s">
        <v>99</v>
      </c>
      <c r="D464" s="14">
        <f>AVERAGE(D459:D463)</f>
        <v>356</v>
      </c>
      <c r="E464" s="8">
        <v>25</v>
      </c>
      <c r="F464" s="8" t="s">
        <v>32</v>
      </c>
    </row>
    <row r="465" spans="1:9" ht="15.75" customHeight="1" x14ac:dyDescent="0.25">
      <c r="A465" s="5" t="s">
        <v>100</v>
      </c>
      <c r="B465" s="5" t="s">
        <v>51</v>
      </c>
      <c r="C465" s="5" t="s">
        <v>101</v>
      </c>
      <c r="D465" s="5">
        <v>400</v>
      </c>
      <c r="E465" s="5">
        <v>40</v>
      </c>
      <c r="F465" s="5" t="s">
        <v>36</v>
      </c>
    </row>
    <row r="466" spans="1:9" ht="15.75" customHeight="1" x14ac:dyDescent="0.25">
      <c r="A466" s="8" t="s">
        <v>69</v>
      </c>
      <c r="B466" s="8" t="s">
        <v>70</v>
      </c>
      <c r="C466" s="8" t="s">
        <v>71</v>
      </c>
      <c r="D466" s="8">
        <v>250</v>
      </c>
      <c r="E466" s="8">
        <v>20</v>
      </c>
      <c r="F466" s="8" t="s">
        <v>46</v>
      </c>
    </row>
    <row r="467" spans="1:9" ht="15.75" customHeight="1" x14ac:dyDescent="0.25">
      <c r="A467" s="5" t="s">
        <v>102</v>
      </c>
      <c r="B467" s="5" t="s">
        <v>103</v>
      </c>
      <c r="C467" s="5" t="s">
        <v>104</v>
      </c>
      <c r="D467" s="5">
        <v>60</v>
      </c>
      <c r="E467" s="5">
        <v>30</v>
      </c>
      <c r="F467" s="5" t="s">
        <v>32</v>
      </c>
    </row>
    <row r="468" spans="1:9" ht="15.75" customHeight="1" x14ac:dyDescent="0.25">
      <c r="A468" s="8" t="s">
        <v>105</v>
      </c>
      <c r="B468" s="8" t="s">
        <v>106</v>
      </c>
      <c r="C468" s="8" t="s">
        <v>107</v>
      </c>
      <c r="D468" s="8">
        <v>40</v>
      </c>
      <c r="E468" s="8">
        <v>10</v>
      </c>
      <c r="F468" s="8" t="s">
        <v>36</v>
      </c>
    </row>
    <row r="469" spans="1:9" ht="15.75" customHeight="1" x14ac:dyDescent="0.25">
      <c r="A469" s="5" t="s">
        <v>108</v>
      </c>
      <c r="B469" s="5" t="s">
        <v>93</v>
      </c>
      <c r="C469" s="5" t="s">
        <v>109</v>
      </c>
      <c r="D469" s="5">
        <v>130</v>
      </c>
      <c r="E469" s="5">
        <v>5</v>
      </c>
      <c r="F469" s="5" t="s">
        <v>28</v>
      </c>
    </row>
    <row r="470" spans="1:9" ht="15.75" customHeight="1" x14ac:dyDescent="0.25">
      <c r="A470" s="8" t="s">
        <v>110</v>
      </c>
      <c r="B470" s="8" t="s">
        <v>111</v>
      </c>
      <c r="C470" s="8" t="s">
        <v>112</v>
      </c>
      <c r="D470" s="8">
        <v>50</v>
      </c>
      <c r="E470" s="8">
        <v>50</v>
      </c>
      <c r="F470" s="8" t="s">
        <v>32</v>
      </c>
    </row>
    <row r="471" spans="1:9" ht="15.75" customHeight="1" x14ac:dyDescent="0.25">
      <c r="A471" s="5" t="s">
        <v>60</v>
      </c>
      <c r="B471" s="5" t="s">
        <v>61</v>
      </c>
      <c r="C471" s="5" t="s">
        <v>62</v>
      </c>
      <c r="D471" s="5">
        <v>950</v>
      </c>
      <c r="E471" s="5">
        <v>25</v>
      </c>
      <c r="F471" s="5" t="s">
        <v>28</v>
      </c>
    </row>
    <row r="472" spans="1:9" ht="15.75" customHeight="1" x14ac:dyDescent="0.25">
      <c r="A472" s="8" t="s">
        <v>113</v>
      </c>
      <c r="B472" s="8" t="s">
        <v>114</v>
      </c>
      <c r="C472" s="8" t="s">
        <v>115</v>
      </c>
      <c r="D472" s="8">
        <v>100</v>
      </c>
      <c r="E472" s="8">
        <v>20</v>
      </c>
      <c r="F472" s="8" t="s">
        <v>75</v>
      </c>
    </row>
    <row r="473" spans="1:9" ht="15.75" customHeight="1" x14ac:dyDescent="0.25"/>
    <row r="474" spans="1:9" ht="15.75" customHeight="1" x14ac:dyDescent="0.25"/>
    <row r="475" spans="1:9" ht="15.75" customHeight="1" x14ac:dyDescent="0.3">
      <c r="A475" s="18" t="s">
        <v>18</v>
      </c>
      <c r="B475" s="23"/>
      <c r="C475" s="23"/>
      <c r="D475" s="23"/>
      <c r="E475" s="23"/>
      <c r="F475" s="23"/>
      <c r="G475" s="5"/>
      <c r="H475" s="5"/>
      <c r="I475" s="5"/>
    </row>
    <row r="476" spans="1:9" ht="15.75" customHeight="1" x14ac:dyDescent="0.25"/>
    <row r="477" spans="1:9" ht="15.75" customHeight="1" x14ac:dyDescent="0.25">
      <c r="A477" s="7" t="s">
        <v>19</v>
      </c>
      <c r="B477" s="7" t="s">
        <v>20</v>
      </c>
      <c r="C477" s="7" t="s">
        <v>21</v>
      </c>
      <c r="D477" s="7" t="s">
        <v>22</v>
      </c>
      <c r="E477" s="7" t="s">
        <v>23</v>
      </c>
      <c r="F477" s="7" t="s">
        <v>24</v>
      </c>
    </row>
    <row r="478" spans="1:9" ht="15.75" customHeight="1" x14ac:dyDescent="0.25">
      <c r="A478" s="5" t="s">
        <v>25</v>
      </c>
      <c r="B478" s="5" t="s">
        <v>26</v>
      </c>
      <c r="C478" s="5" t="s">
        <v>27</v>
      </c>
      <c r="D478" s="5">
        <v>1000</v>
      </c>
      <c r="E478" s="5">
        <v>30</v>
      </c>
      <c r="F478" s="5" t="s">
        <v>28</v>
      </c>
    </row>
    <row r="479" spans="1:9" ht="15.75" customHeight="1" x14ac:dyDescent="0.25">
      <c r="A479" s="8" t="s">
        <v>29</v>
      </c>
      <c r="B479" s="8" t="s">
        <v>30</v>
      </c>
      <c r="C479" s="8" t="s">
        <v>31</v>
      </c>
      <c r="D479" s="8">
        <v>80</v>
      </c>
      <c r="E479" s="8">
        <v>15</v>
      </c>
      <c r="F479" s="8" t="s">
        <v>32</v>
      </c>
    </row>
    <row r="480" spans="1:9" ht="15.75" customHeight="1" x14ac:dyDescent="0.25">
      <c r="A480" s="5" t="s">
        <v>33</v>
      </c>
      <c r="B480" s="5" t="s">
        <v>34</v>
      </c>
      <c r="C480" s="5" t="s">
        <v>35</v>
      </c>
      <c r="D480" s="5">
        <v>130</v>
      </c>
      <c r="E480" s="5">
        <v>40</v>
      </c>
      <c r="F480" s="5" t="s">
        <v>36</v>
      </c>
    </row>
    <row r="481" spans="1:6" ht="15.75" customHeight="1" x14ac:dyDescent="0.25">
      <c r="A481" s="8" t="s">
        <v>37</v>
      </c>
      <c r="B481" s="8" t="s">
        <v>38</v>
      </c>
      <c r="C481" s="8" t="s">
        <v>39</v>
      </c>
      <c r="D481" s="8">
        <v>900</v>
      </c>
      <c r="E481" s="8">
        <v>25</v>
      </c>
      <c r="F481" s="8" t="s">
        <v>28</v>
      </c>
    </row>
    <row r="482" spans="1:6" ht="15.75" customHeight="1" x14ac:dyDescent="0.25">
      <c r="A482" s="5" t="s">
        <v>40</v>
      </c>
      <c r="B482" s="5" t="s">
        <v>41</v>
      </c>
      <c r="C482" s="5" t="s">
        <v>42</v>
      </c>
      <c r="D482" s="5">
        <v>70</v>
      </c>
      <c r="E482" s="5">
        <v>20</v>
      </c>
      <c r="F482" s="5"/>
    </row>
    <row r="483" spans="1:6" ht="15.75" customHeight="1" x14ac:dyDescent="0.25">
      <c r="A483" s="8" t="s">
        <v>43</v>
      </c>
      <c r="B483" s="8" t="s">
        <v>44</v>
      </c>
      <c r="C483" s="8" t="s">
        <v>45</v>
      </c>
      <c r="D483" s="14">
        <f>AVERAGE(D478:D482)</f>
        <v>436</v>
      </c>
      <c r="E483" s="8">
        <v>45</v>
      </c>
      <c r="F483" s="8" t="s">
        <v>46</v>
      </c>
    </row>
    <row r="484" spans="1:6" ht="15.75" customHeight="1" x14ac:dyDescent="0.25">
      <c r="A484" s="5" t="s">
        <v>47</v>
      </c>
      <c r="B484" s="5" t="s">
        <v>48</v>
      </c>
      <c r="C484" s="5" t="s">
        <v>49</v>
      </c>
      <c r="D484" s="5">
        <v>30</v>
      </c>
      <c r="E484" s="5">
        <v>5</v>
      </c>
      <c r="F484" s="5" t="s">
        <v>32</v>
      </c>
    </row>
    <row r="485" spans="1:6" ht="15.75" customHeight="1" x14ac:dyDescent="0.25">
      <c r="A485" s="8" t="s">
        <v>50</v>
      </c>
      <c r="B485" s="8" t="s">
        <v>51</v>
      </c>
      <c r="C485" s="8" t="s">
        <v>52</v>
      </c>
      <c r="D485" s="8">
        <v>90</v>
      </c>
      <c r="E485" s="8">
        <v>35</v>
      </c>
      <c r="F485" s="8" t="s">
        <v>36</v>
      </c>
    </row>
    <row r="486" spans="1:6" ht="15.75" customHeight="1" x14ac:dyDescent="0.25">
      <c r="A486" s="5" t="s">
        <v>53</v>
      </c>
      <c r="B486" s="5" t="s">
        <v>54</v>
      </c>
      <c r="C486" s="5" t="s">
        <v>55</v>
      </c>
      <c r="D486" s="5">
        <v>500</v>
      </c>
      <c r="E486" s="5">
        <v>50</v>
      </c>
      <c r="F486" s="5" t="s">
        <v>28</v>
      </c>
    </row>
    <row r="487" spans="1:6" ht="15.75" customHeight="1" x14ac:dyDescent="0.25">
      <c r="A487" s="8" t="s">
        <v>56</v>
      </c>
      <c r="B487" s="8" t="s">
        <v>57</v>
      </c>
      <c r="C487" s="8" t="s">
        <v>58</v>
      </c>
      <c r="D487" s="8">
        <v>130</v>
      </c>
      <c r="E487" s="8">
        <v>10</v>
      </c>
      <c r="F487" s="8" t="s">
        <v>59</v>
      </c>
    </row>
    <row r="488" spans="1:6" ht="15.75" customHeight="1" x14ac:dyDescent="0.25">
      <c r="A488" s="5" t="s">
        <v>60</v>
      </c>
      <c r="B488" s="5" t="s">
        <v>61</v>
      </c>
      <c r="C488" s="5" t="s">
        <v>62</v>
      </c>
      <c r="D488" s="5">
        <v>950</v>
      </c>
      <c r="E488" s="5">
        <v>25</v>
      </c>
      <c r="F488" s="5" t="s">
        <v>28</v>
      </c>
    </row>
    <row r="489" spans="1:6" ht="15.75" customHeight="1" x14ac:dyDescent="0.25">
      <c r="A489" s="8" t="s">
        <v>63</v>
      </c>
      <c r="B489" s="8" t="s">
        <v>30</v>
      </c>
      <c r="C489" s="8" t="s">
        <v>49</v>
      </c>
      <c r="D489" s="8">
        <v>90</v>
      </c>
      <c r="E489" s="8">
        <v>40</v>
      </c>
      <c r="F489" s="8"/>
    </row>
    <row r="490" spans="1:6" ht="15.75" customHeight="1" x14ac:dyDescent="0.25">
      <c r="A490" s="5" t="s">
        <v>64</v>
      </c>
      <c r="B490" s="5" t="s">
        <v>34</v>
      </c>
      <c r="C490" s="5" t="s">
        <v>65</v>
      </c>
      <c r="D490" s="5">
        <v>120</v>
      </c>
      <c r="E490" s="5">
        <v>35</v>
      </c>
      <c r="F490" s="5"/>
    </row>
    <row r="491" spans="1:6" ht="15.75" customHeight="1" x14ac:dyDescent="0.25">
      <c r="A491" s="8" t="s">
        <v>66</v>
      </c>
      <c r="B491" s="8" t="s">
        <v>67</v>
      </c>
      <c r="C491" s="8" t="s">
        <v>68</v>
      </c>
      <c r="D491" s="8">
        <v>150</v>
      </c>
      <c r="E491" s="8">
        <v>15</v>
      </c>
      <c r="F491" s="36" t="s">
        <v>28</v>
      </c>
    </row>
    <row r="492" spans="1:6" ht="15.75" customHeight="1" x14ac:dyDescent="0.25">
      <c r="A492" s="5" t="s">
        <v>69</v>
      </c>
      <c r="B492" s="5" t="s">
        <v>70</v>
      </c>
      <c r="C492" s="5" t="s">
        <v>71</v>
      </c>
      <c r="D492" s="5">
        <v>250</v>
      </c>
      <c r="E492" s="5">
        <v>20</v>
      </c>
      <c r="F492" s="36" t="s">
        <v>28</v>
      </c>
    </row>
    <row r="493" spans="1:6" ht="15.75" customHeight="1" x14ac:dyDescent="0.25">
      <c r="A493" s="8" t="s">
        <v>72</v>
      </c>
      <c r="B493" s="8" t="s">
        <v>73</v>
      </c>
      <c r="C493" s="8" t="s">
        <v>74</v>
      </c>
      <c r="D493" s="8">
        <v>50</v>
      </c>
      <c r="E493" s="8">
        <v>35</v>
      </c>
      <c r="F493" s="8" t="s">
        <v>75</v>
      </c>
    </row>
    <row r="494" spans="1:6" ht="15.75" customHeight="1" x14ac:dyDescent="0.25">
      <c r="A494" s="5" t="s">
        <v>76</v>
      </c>
      <c r="B494" s="5" t="s">
        <v>67</v>
      </c>
      <c r="C494" s="5" t="s">
        <v>77</v>
      </c>
      <c r="D494" s="5">
        <v>160</v>
      </c>
      <c r="E494" s="5">
        <v>15</v>
      </c>
      <c r="F494" s="36" t="s">
        <v>28</v>
      </c>
    </row>
    <row r="495" spans="1:6" ht="15.75" customHeight="1" x14ac:dyDescent="0.25">
      <c r="A495" s="8" t="s">
        <v>78</v>
      </c>
      <c r="B495" s="8" t="s">
        <v>26</v>
      </c>
      <c r="C495" s="8" t="s">
        <v>79</v>
      </c>
      <c r="D495" s="8">
        <v>980</v>
      </c>
      <c r="E495" s="8">
        <v>10</v>
      </c>
      <c r="F495" s="8" t="s">
        <v>28</v>
      </c>
    </row>
    <row r="496" spans="1:6" ht="15.75" customHeight="1" x14ac:dyDescent="0.25">
      <c r="A496" s="5" t="s">
        <v>80</v>
      </c>
      <c r="B496" s="5" t="s">
        <v>81</v>
      </c>
      <c r="C496" s="5" t="s">
        <v>82</v>
      </c>
      <c r="D496" s="5">
        <v>150</v>
      </c>
      <c r="E496" s="5">
        <v>15</v>
      </c>
      <c r="F496" s="5" t="s">
        <v>32</v>
      </c>
    </row>
    <row r="497" spans="1:6" ht="15.75" customHeight="1" x14ac:dyDescent="0.25">
      <c r="A497" s="8" t="s">
        <v>83</v>
      </c>
      <c r="B497" s="8" t="s">
        <v>84</v>
      </c>
      <c r="C497" s="8" t="s">
        <v>85</v>
      </c>
      <c r="D497" s="14">
        <f>AVERAGE(D492:D496)</f>
        <v>318</v>
      </c>
      <c r="E497" s="8">
        <v>10</v>
      </c>
      <c r="F497" s="8" t="s">
        <v>59</v>
      </c>
    </row>
    <row r="498" spans="1:6" ht="15.75" customHeight="1" x14ac:dyDescent="0.25">
      <c r="A498" s="5" t="s">
        <v>86</v>
      </c>
      <c r="B498" s="5" t="s">
        <v>87</v>
      </c>
      <c r="C498" s="5" t="s">
        <v>88</v>
      </c>
      <c r="D498" s="5">
        <v>700</v>
      </c>
      <c r="E498" s="5">
        <v>50</v>
      </c>
      <c r="F498" s="5" t="s">
        <v>28</v>
      </c>
    </row>
    <row r="499" spans="1:6" ht="15.75" customHeight="1" x14ac:dyDescent="0.25">
      <c r="A499" s="8" t="s">
        <v>89</v>
      </c>
      <c r="B499" s="8" t="s">
        <v>90</v>
      </c>
      <c r="C499" s="8" t="s">
        <v>91</v>
      </c>
      <c r="D499" s="8">
        <v>80</v>
      </c>
      <c r="E499" s="8">
        <v>20</v>
      </c>
      <c r="F499" s="8" t="s">
        <v>36</v>
      </c>
    </row>
    <row r="500" spans="1:6" ht="15.75" customHeight="1" x14ac:dyDescent="0.25">
      <c r="A500" s="5" t="s">
        <v>92</v>
      </c>
      <c r="B500" s="5" t="s">
        <v>93</v>
      </c>
      <c r="C500" s="5" t="s">
        <v>94</v>
      </c>
      <c r="D500" s="5">
        <v>150</v>
      </c>
      <c r="E500" s="5">
        <v>30</v>
      </c>
      <c r="F500" s="5"/>
    </row>
    <row r="501" spans="1:6" ht="15.75" customHeight="1" x14ac:dyDescent="0.25">
      <c r="A501" s="8" t="s">
        <v>72</v>
      </c>
      <c r="B501" s="8" t="s">
        <v>73</v>
      </c>
      <c r="C501" s="8" t="s">
        <v>74</v>
      </c>
      <c r="D501" s="8">
        <v>50</v>
      </c>
      <c r="E501" s="8">
        <v>35</v>
      </c>
      <c r="F501" s="8" t="s">
        <v>75</v>
      </c>
    </row>
    <row r="502" spans="1:6" ht="15.75" customHeight="1" x14ac:dyDescent="0.25">
      <c r="A502" s="5" t="s">
        <v>95</v>
      </c>
      <c r="B502" s="5" t="s">
        <v>96</v>
      </c>
      <c r="C502" s="5" t="s">
        <v>97</v>
      </c>
      <c r="D502" s="5">
        <v>800</v>
      </c>
      <c r="E502" s="5">
        <v>45</v>
      </c>
      <c r="F502" s="5" t="s">
        <v>28</v>
      </c>
    </row>
    <row r="503" spans="1:6" ht="15.75" customHeight="1" x14ac:dyDescent="0.25">
      <c r="A503" s="8" t="s">
        <v>98</v>
      </c>
      <c r="B503" s="8" t="s">
        <v>81</v>
      </c>
      <c r="C503" s="8" t="s">
        <v>99</v>
      </c>
      <c r="D503" s="14">
        <f>AVERAGE(D498:D502)</f>
        <v>356</v>
      </c>
      <c r="E503" s="8">
        <v>25</v>
      </c>
      <c r="F503" s="8" t="s">
        <v>32</v>
      </c>
    </row>
    <row r="504" spans="1:6" ht="15.75" customHeight="1" x14ac:dyDescent="0.25">
      <c r="A504" s="5" t="s">
        <v>100</v>
      </c>
      <c r="B504" s="5" t="s">
        <v>51</v>
      </c>
      <c r="C504" s="5" t="s">
        <v>101</v>
      </c>
      <c r="D504" s="5">
        <v>400</v>
      </c>
      <c r="E504" s="5">
        <v>40</v>
      </c>
      <c r="F504" s="5" t="s">
        <v>36</v>
      </c>
    </row>
    <row r="505" spans="1:6" ht="15.75" customHeight="1" x14ac:dyDescent="0.25">
      <c r="A505" s="8" t="s">
        <v>69</v>
      </c>
      <c r="B505" s="8" t="s">
        <v>70</v>
      </c>
      <c r="C505" s="8" t="s">
        <v>71</v>
      </c>
      <c r="D505" s="8">
        <v>250</v>
      </c>
      <c r="E505" s="8">
        <v>20</v>
      </c>
      <c r="F505" s="16" t="s">
        <v>28</v>
      </c>
    </row>
    <row r="506" spans="1:6" ht="15.75" customHeight="1" x14ac:dyDescent="0.25">
      <c r="A506" s="5" t="s">
        <v>102</v>
      </c>
      <c r="B506" s="5" t="s">
        <v>103</v>
      </c>
      <c r="C506" s="5" t="s">
        <v>104</v>
      </c>
      <c r="D506" s="5">
        <v>60</v>
      </c>
      <c r="E506" s="5">
        <v>30</v>
      </c>
      <c r="F506" s="5" t="s">
        <v>32</v>
      </c>
    </row>
    <row r="507" spans="1:6" ht="15.75" customHeight="1" x14ac:dyDescent="0.25">
      <c r="A507" s="8" t="s">
        <v>105</v>
      </c>
      <c r="B507" s="8" t="s">
        <v>106</v>
      </c>
      <c r="C507" s="8" t="s">
        <v>107</v>
      </c>
      <c r="D507" s="8">
        <v>40</v>
      </c>
      <c r="E507" s="8">
        <v>10</v>
      </c>
      <c r="F507" s="8" t="s">
        <v>36</v>
      </c>
    </row>
    <row r="508" spans="1:6" ht="15.75" customHeight="1" x14ac:dyDescent="0.25">
      <c r="A508" s="5" t="s">
        <v>108</v>
      </c>
      <c r="B508" s="5" t="s">
        <v>93</v>
      </c>
      <c r="C508" s="5" t="s">
        <v>109</v>
      </c>
      <c r="D508" s="5">
        <v>130</v>
      </c>
      <c r="E508" s="5">
        <v>5</v>
      </c>
      <c r="F508" s="5" t="s">
        <v>28</v>
      </c>
    </row>
    <row r="509" spans="1:6" ht="15.75" customHeight="1" x14ac:dyDescent="0.25">
      <c r="A509" s="8" t="s">
        <v>110</v>
      </c>
      <c r="B509" s="8" t="s">
        <v>111</v>
      </c>
      <c r="C509" s="8" t="s">
        <v>112</v>
      </c>
      <c r="D509" s="8">
        <v>50</v>
      </c>
      <c r="E509" s="8">
        <v>50</v>
      </c>
      <c r="F509" s="8" t="s">
        <v>32</v>
      </c>
    </row>
    <row r="510" spans="1:6" ht="15.75" customHeight="1" x14ac:dyDescent="0.25">
      <c r="A510" s="5" t="s">
        <v>60</v>
      </c>
      <c r="B510" s="5" t="s">
        <v>61</v>
      </c>
      <c r="C510" s="5" t="s">
        <v>62</v>
      </c>
      <c r="D510" s="5">
        <v>950</v>
      </c>
      <c r="E510" s="5">
        <v>25</v>
      </c>
      <c r="F510" s="5" t="s">
        <v>28</v>
      </c>
    </row>
    <row r="511" spans="1:6" ht="15.75" customHeight="1" x14ac:dyDescent="0.25">
      <c r="A511" s="8" t="s">
        <v>113</v>
      </c>
      <c r="B511" s="8" t="s">
        <v>114</v>
      </c>
      <c r="C511" s="8" t="s">
        <v>115</v>
      </c>
      <c r="D511" s="8">
        <v>100</v>
      </c>
      <c r="E511" s="8">
        <v>20</v>
      </c>
      <c r="F511" s="8" t="s">
        <v>75</v>
      </c>
    </row>
    <row r="512" spans="1:6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84:F118" xr:uid="{00000000-0001-0000-0100-000000000000}">
    <filterColumn colId="5">
      <customFilters>
        <customFilter operator="notEqual" val=" "/>
      </customFilters>
    </filterColumn>
  </autoFilter>
  <mergeCells count="7">
    <mergeCell ref="I172:P172"/>
    <mergeCell ref="I210:K210"/>
    <mergeCell ref="A39:C40"/>
    <mergeCell ref="H52:J53"/>
    <mergeCell ref="H90:K90"/>
    <mergeCell ref="A124:D124"/>
    <mergeCell ref="I129:K129"/>
  </mergeCells>
  <conditionalFormatting sqref="D438:D47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{2B956D51-FF50-42BA-BB1B-74F8360A1259}</x14:id>
        </ext>
      </extLst>
    </cfRule>
  </conditionalFormatting>
  <conditionalFormatting sqref="F477:F511">
    <cfRule type="containsText" dxfId="0" priority="2" operator="containsText" text="&quot;Electronics&quot;">
      <formula>NOT(ISERROR(SEARCH("""Electronics""",F477)))</formula>
    </cfRule>
    <cfRule type="containsText" priority="3" operator="containsText" text="Electronics">
      <formula>NOT(ISERROR(SEARCH("Electronics",F477)))</formula>
    </cfRule>
    <cfRule type="cellIs" priority="4" operator="equal">
      <formula>$F$481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956D51-FF50-42BA-BB1B-74F8360A12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D438:D472</xm:sqref>
        </x14:conditionalFormatting>
        <x14:conditionalFormatting xmlns:xm="http://schemas.microsoft.com/office/excel/2006/main">
          <x14:cfRule type="containsText" priority="1" operator="containsText" id="{A2D2F5BF-6D52-4B76-82F6-259B5C13C862}">
            <xm:f>NOT(ISERROR(SEARCH($F$478,F477)))</xm:f>
            <xm:f>$F$478</xm:f>
            <x14:dxf>
              <font>
                <color theme="3"/>
              </font>
              <fill>
                <patternFill>
                  <bgColor rgb="FFFF0000"/>
                </patternFill>
              </fill>
            </x14:dxf>
          </x14:cfRule>
          <xm:sqref>F477:F511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sai</dc:creator>
  <cp:lastModifiedBy>siva sai</cp:lastModifiedBy>
  <dcterms:created xsi:type="dcterms:W3CDTF">2026-09-20T18:11:04Z</dcterms:created>
  <dcterms:modified xsi:type="dcterms:W3CDTF">2026-09-21T16:17:44Z</dcterms:modified>
</cp:coreProperties>
</file>