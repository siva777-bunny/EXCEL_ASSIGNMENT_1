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vurit\Downloads\"/>
    </mc:Choice>
  </mc:AlternateContent>
  <xr:revisionPtr revIDLastSave="0" documentId="13_ncr:1_{7E751CEF-D60A-48BE-86AA-F9344DE99C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B145" i="2" l="1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59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G159" i="2" a="1"/>
  <c r="G159" i="2" s="1"/>
  <c r="B140" i="2"/>
  <c r="G99" i="2" a="1"/>
  <c r="G99" i="2" s="1"/>
  <c r="G2" i="2" a="1"/>
  <c r="G2" i="2" s="1"/>
  <c r="B91" i="2"/>
  <c r="B87" i="2"/>
  <c r="B80" i="2"/>
  <c r="B51" i="2" a="1"/>
  <c r="B51" i="2" s="1"/>
  <c r="A4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<sst xmlns="http://schemas.openxmlformats.org/spreadsheetml/2006/main" count="468" uniqueCount="117">
  <si>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</si>
  <si>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</si>
  <si>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</si>
  <si>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</si>
  <si>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</si>
  <si>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</si>
  <si>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</si>
  <si>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</si>
  <si>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</si>
  <si>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</si>
  <si>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</si>
  <si>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</si>
  <si>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</si>
  <si>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</si>
  <si>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</si>
  <si>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</si>
  <si>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</si>
  <si>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</si>
  <si>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</si>
  <si>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</si>
  <si>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</si>
  <si>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</si>
  <si>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</si>
  <si>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</si>
  <si>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</si>
  <si>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</si>
  <si>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</si>
  <si>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</si>
  <si>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</si>
  <si>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</si>
  <si>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</si>
  <si>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</si>
  <si>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</si>
  <si>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</si>
  <si>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</si>
  <si>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</si>
  <si>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</si>
  <si>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</si>
  <si>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</si>
  <si>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</si>
  <si>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</si>
  <si>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</si>
  <si>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</si>
  <si>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</si>
  <si>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</si>
  <si>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</si>
  <si>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</si>
  <si>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</si>
  <si>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</si>
  <si>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</si>
  <si>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</si>
  <si>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</si>
  <si>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</si>
  <si>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</si>
  <si>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</si>
  <si>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</si>
  <si>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</si>
  <si>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</si>
  <si>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</si>
  <si>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</si>
  <si>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</si>
  <si>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</si>
  <si>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</si>
  <si>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</si>
  <si>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</si>
  <si>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</si>
  <si>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</si>
  <si>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</si>
  <si>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</si>
  <si>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</si>
  <si>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</si>
  <si>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</si>
  <si>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</si>
  <si>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</si>
  <si>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</si>
  <si>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</si>
  <si>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</si>
  <si>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</si>
  <si>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</si>
  <si>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</si>
  <si>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</si>
  <si>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</si>
  <si>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</si>
  <si>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</si>
  <si>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</si>
  <si>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</si>
  <si>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</si>
  <si>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</si>
  <si>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</si>
  <si>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</si>
  <si>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</si>
  <si>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</si>
  <si>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</si>
  <si>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</si>
  <si>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</si>
  <si>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</si>
  <si>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</si>
  <si>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</si>
  <si>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</si>
  <si>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</si>
  <si>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</si>
  <si>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</si>
  <si>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</si>
  <si>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</si>
  <si>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</si>
  <si>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</si>
  <si>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</si>
  <si>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</si>
  <si>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</si>
  <si>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</si>
  <si>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ANSWERS </t>
  </si>
  <si>
    <t xml:space="preserve">TOTAL 21 PRODUCTS </t>
  </si>
  <si>
    <t>THE AVERAGE PRICE OF PRODUCTS IS</t>
  </si>
  <si>
    <t>Price Range</t>
  </si>
  <si>
    <t>LEFT</t>
  </si>
  <si>
    <t>RIGHT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</si>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</sst>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&quot;₹&quot;\ * #,##0_ ;_ &quot;₹&quot;\ * \-#,##0_ ;_ &quot;₹&quot;\ * &quot;-&quot;??_ ;_ @_ 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i/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44" fontId="0" fillId="0" borderId="0" xfId="1" applyFont="1"/>
    <xf numFmtId="2" fontId="8" fillId="0" borderId="0" xfId="0" applyNumberFormat="1" applyFont="1"/>
    <xf numFmtId="164" fontId="6" fillId="0" borderId="0" xfId="1" applyNumberFormat="1" applyFont="1"/>
    <xf numFmtId="164" fontId="6" fillId="3" borderId="0" xfId="1" applyNumberFormat="1" applyFont="1" applyFill="1"/>
    <xf numFmtId="164" fontId="0" fillId="0" borderId="0" xfId="1" applyNumberFormat="1" applyFont="1"/>
    <xf numFmtId="0" fontId="2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9" fillId="0" borderId="0" xfId="0" applyFont="1" applyAlignment="1">
      <alignment horizontal="center" wrapText="1"/>
    </xf>
    <xf numFmtId="0" fontId="3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5" borderId="0" xfId="0" applyFont="1" applyFill="1"/>
    <xf numFmtId="0" fontId="0" fillId="5" borderId="0" xfId="0" applyFill="1"/>
    <xf numFmtId="0" fontId="10" fillId="2" borderId="0" xfId="0" applyFont="1" applyFill="1" applyAlignment="1">
      <alignment horizontal="center"/>
    </xf>
    <xf numFmtId="0" fontId="9" fillId="0" borderId="0" xfId="0" applyFont="1"/>
    <xf numFmtId="0" fontId="11" fillId="7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8" workbookViewId="0">
      <selection activeCell="C22" sqref="C22:L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topLeftCell="A32" workbookViewId="0">
      <selection activeCell="A39" sqref="A39:K41"/>
    </sheetView>
  </sheetViews>
  <sheetFormatPr defaultColWidth="12.6640625" defaultRowHeight="15" customHeight="1" x14ac:dyDescent="0.25"/>
  <cols>
    <col min="1" max="1" width="13" customWidth="1"/>
    <col min="2" max="2" width="14.109375" customWidth="1"/>
    <col min="3" max="6" width="12.6640625" customWidth="1"/>
    <col min="7" max="7" width="16.554687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113</v>
      </c>
    </row>
    <row r="2" spans="1:7" ht="15.75" customHeight="1" x14ac:dyDescent="0.25">
      <c r="A2" s="6" t="s">
        <v>23</v>
      </c>
      <c r="B2" s="6" t="s">
        <v>24</v>
      </c>
      <c r="C2" s="6" t="s">
        <v>25</v>
      </c>
      <c r="D2" s="10">
        <v>1000</v>
      </c>
      <c r="E2" s="6">
        <v>30</v>
      </c>
      <c r="F2" s="6" t="s">
        <v>26</v>
      </c>
      <c r="G2" s="6" t="str" cm="1">
        <f t="array" ref="G2:G35">IF(D2:D35&gt;=500,"Higher Price","Standard Price")</f>
        <v>Higher Price</v>
      </c>
    </row>
    <row r="3" spans="1:7" ht="15.75" customHeight="1" x14ac:dyDescent="0.25">
      <c r="A3" s="7" t="s">
        <v>27</v>
      </c>
      <c r="B3" s="7" t="s">
        <v>28</v>
      </c>
      <c r="C3" s="7" t="s">
        <v>29</v>
      </c>
      <c r="D3" s="11">
        <v>80</v>
      </c>
      <c r="E3" s="7">
        <v>15</v>
      </c>
      <c r="F3" s="7" t="s">
        <v>30</v>
      </c>
      <c r="G3" s="7" t="str">
        <v>Standard Price</v>
      </c>
    </row>
    <row r="4" spans="1:7" ht="15.75" customHeight="1" x14ac:dyDescent="0.25">
      <c r="A4" s="6" t="s">
        <v>31</v>
      </c>
      <c r="B4" s="6" t="s">
        <v>32</v>
      </c>
      <c r="C4" s="6" t="s">
        <v>33</v>
      </c>
      <c r="D4" s="10">
        <v>130</v>
      </c>
      <c r="E4" s="6">
        <v>40</v>
      </c>
      <c r="F4" s="6" t="s">
        <v>34</v>
      </c>
      <c r="G4" s="6" t="str">
        <v>Standard Price</v>
      </c>
    </row>
    <row r="5" spans="1:7" ht="15.75" customHeight="1" x14ac:dyDescent="0.25">
      <c r="A5" s="7" t="s">
        <v>35</v>
      </c>
      <c r="B5" s="7" t="s">
        <v>36</v>
      </c>
      <c r="C5" s="7" t="s">
        <v>37</v>
      </c>
      <c r="D5" s="11">
        <v>900</v>
      </c>
      <c r="E5" s="7">
        <v>25</v>
      </c>
      <c r="F5" s="7" t="s">
        <v>26</v>
      </c>
      <c r="G5" s="7" t="str">
        <v>Higher Price</v>
      </c>
    </row>
    <row r="6" spans="1:7" ht="15.75" customHeight="1" x14ac:dyDescent="0.25">
      <c r="A6" s="6" t="s">
        <v>38</v>
      </c>
      <c r="B6" s="6" t="s">
        <v>39</v>
      </c>
      <c r="C6" s="6" t="s">
        <v>40</v>
      </c>
      <c r="D6" s="10">
        <v>70</v>
      </c>
      <c r="E6" s="6">
        <v>20</v>
      </c>
      <c r="F6" s="6" t="s">
        <v>41</v>
      </c>
      <c r="G6" s="6" t="str">
        <v>Standard Price</v>
      </c>
    </row>
    <row r="7" spans="1:7" ht="15.75" customHeight="1" x14ac:dyDescent="0.25">
      <c r="A7" s="7" t="s">
        <v>42</v>
      </c>
      <c r="B7" s="7" t="s">
        <v>43</v>
      </c>
      <c r="C7" s="7" t="s">
        <v>44</v>
      </c>
      <c r="D7" s="11">
        <v>200</v>
      </c>
      <c r="E7" s="7">
        <v>45</v>
      </c>
      <c r="F7" s="7" t="s">
        <v>26</v>
      </c>
      <c r="G7" s="7" t="str">
        <v>Standard Price</v>
      </c>
    </row>
    <row r="8" spans="1:7" ht="15.75" customHeight="1" x14ac:dyDescent="0.25">
      <c r="A8" s="6" t="s">
        <v>45</v>
      </c>
      <c r="B8" s="6" t="s">
        <v>46</v>
      </c>
      <c r="C8" s="6" t="s">
        <v>47</v>
      </c>
      <c r="D8" s="10">
        <v>30</v>
      </c>
      <c r="E8" s="6">
        <v>5</v>
      </c>
      <c r="F8" s="6" t="s">
        <v>30</v>
      </c>
      <c r="G8" s="6" t="str">
        <v>Standard Price</v>
      </c>
    </row>
    <row r="9" spans="1:7" ht="15.75" customHeight="1" x14ac:dyDescent="0.25">
      <c r="A9" s="7" t="s">
        <v>48</v>
      </c>
      <c r="B9" s="7" t="s">
        <v>49</v>
      </c>
      <c r="C9" s="7" t="s">
        <v>50</v>
      </c>
      <c r="D9" s="11">
        <v>90</v>
      </c>
      <c r="E9" s="7">
        <v>35</v>
      </c>
      <c r="F9" s="7" t="s">
        <v>34</v>
      </c>
      <c r="G9" s="7" t="str">
        <v>Standard Price</v>
      </c>
    </row>
    <row r="10" spans="1:7" ht="15.75" customHeight="1" x14ac:dyDescent="0.25">
      <c r="A10" s="6" t="s">
        <v>51</v>
      </c>
      <c r="B10" s="6" t="s">
        <v>52</v>
      </c>
      <c r="C10" s="6" t="s">
        <v>53</v>
      </c>
      <c r="D10" s="10">
        <v>500</v>
      </c>
      <c r="E10" s="6">
        <v>50</v>
      </c>
      <c r="F10" s="6" t="s">
        <v>26</v>
      </c>
      <c r="G10" s="6" t="str">
        <v>Higher Price</v>
      </c>
    </row>
    <row r="11" spans="1:7" ht="15.75" customHeight="1" x14ac:dyDescent="0.25">
      <c r="A11" s="7" t="s">
        <v>54</v>
      </c>
      <c r="B11" s="7" t="s">
        <v>55</v>
      </c>
      <c r="C11" s="7" t="s">
        <v>56</v>
      </c>
      <c r="D11" s="11">
        <v>130</v>
      </c>
      <c r="E11" s="7">
        <v>10</v>
      </c>
      <c r="F11" s="7" t="s">
        <v>41</v>
      </c>
      <c r="G11" s="7" t="str">
        <v>Standard Price</v>
      </c>
    </row>
    <row r="12" spans="1:7" ht="15.75" customHeight="1" x14ac:dyDescent="0.25">
      <c r="A12" s="6" t="s">
        <v>57</v>
      </c>
      <c r="B12" s="6" t="s">
        <v>24</v>
      </c>
      <c r="C12" s="6" t="s">
        <v>58</v>
      </c>
      <c r="D12" s="10">
        <v>950</v>
      </c>
      <c r="E12" s="6">
        <v>25</v>
      </c>
      <c r="F12" s="6" t="s">
        <v>26</v>
      </c>
      <c r="G12" s="6" t="str">
        <v>Higher Price</v>
      </c>
    </row>
    <row r="13" spans="1:7" ht="15.75" customHeight="1" x14ac:dyDescent="0.25">
      <c r="A13" s="7" t="s">
        <v>59</v>
      </c>
      <c r="B13" s="7" t="s">
        <v>28</v>
      </c>
      <c r="C13" s="7" t="s">
        <v>47</v>
      </c>
      <c r="D13" s="11">
        <v>90</v>
      </c>
      <c r="E13" s="7">
        <v>40</v>
      </c>
      <c r="F13" s="7" t="s">
        <v>30</v>
      </c>
      <c r="G13" s="7" t="str">
        <v>Standard Price</v>
      </c>
    </row>
    <row r="14" spans="1:7" ht="15.75" customHeight="1" x14ac:dyDescent="0.25">
      <c r="A14" s="6" t="s">
        <v>60</v>
      </c>
      <c r="B14" s="6" t="s">
        <v>32</v>
      </c>
      <c r="C14" s="6" t="s">
        <v>61</v>
      </c>
      <c r="D14" s="10">
        <v>120</v>
      </c>
      <c r="E14" s="6">
        <v>35</v>
      </c>
      <c r="F14" s="6" t="s">
        <v>34</v>
      </c>
      <c r="G14" s="6" t="str">
        <v>Standard Price</v>
      </c>
    </row>
    <row r="15" spans="1:7" ht="15.75" customHeight="1" x14ac:dyDescent="0.25">
      <c r="A15" s="7" t="s">
        <v>62</v>
      </c>
      <c r="B15" s="7" t="s">
        <v>63</v>
      </c>
      <c r="C15" s="7" t="s">
        <v>64</v>
      </c>
      <c r="D15" s="11">
        <v>150</v>
      </c>
      <c r="E15" s="7">
        <v>15</v>
      </c>
      <c r="F15" s="7" t="s">
        <v>26</v>
      </c>
      <c r="G15" s="7" t="str">
        <v>Standard Price</v>
      </c>
    </row>
    <row r="16" spans="1:7" ht="15.75" customHeight="1" x14ac:dyDescent="0.25">
      <c r="A16" s="6" t="s">
        <v>65</v>
      </c>
      <c r="B16" s="6" t="s">
        <v>43</v>
      </c>
      <c r="C16" s="6" t="s">
        <v>66</v>
      </c>
      <c r="D16" s="10">
        <v>250</v>
      </c>
      <c r="E16" s="6">
        <v>20</v>
      </c>
      <c r="F16" s="6" t="s">
        <v>26</v>
      </c>
      <c r="G16" s="6" t="str">
        <v>Standard Price</v>
      </c>
    </row>
    <row r="17" spans="1:7" ht="15.75" customHeight="1" x14ac:dyDescent="0.25">
      <c r="A17" s="7" t="s">
        <v>67</v>
      </c>
      <c r="B17" s="7" t="s">
        <v>68</v>
      </c>
      <c r="C17" s="7" t="s">
        <v>69</v>
      </c>
      <c r="D17" s="11">
        <v>50</v>
      </c>
      <c r="E17" s="7">
        <v>35</v>
      </c>
      <c r="F17" s="7" t="s">
        <v>70</v>
      </c>
      <c r="G17" s="7" t="str">
        <v>Standard Price</v>
      </c>
    </row>
    <row r="18" spans="1:7" ht="15.75" customHeight="1" x14ac:dyDescent="0.25">
      <c r="A18" s="6" t="s">
        <v>71</v>
      </c>
      <c r="B18" s="6" t="s">
        <v>63</v>
      </c>
      <c r="C18" s="6" t="s">
        <v>72</v>
      </c>
      <c r="D18" s="10">
        <v>160</v>
      </c>
      <c r="E18" s="6">
        <v>15</v>
      </c>
      <c r="F18" s="6" t="s">
        <v>26</v>
      </c>
      <c r="G18" s="6" t="str">
        <v>Standard Price</v>
      </c>
    </row>
    <row r="19" spans="1:7" ht="15.75" customHeight="1" x14ac:dyDescent="0.25">
      <c r="A19" s="7" t="s">
        <v>73</v>
      </c>
      <c r="B19" s="7" t="s">
        <v>24</v>
      </c>
      <c r="C19" s="7" t="s">
        <v>74</v>
      </c>
      <c r="D19" s="11">
        <v>980</v>
      </c>
      <c r="E19" s="7">
        <v>10</v>
      </c>
      <c r="F19" s="7" t="s">
        <v>26</v>
      </c>
      <c r="G19" s="7" t="str">
        <v>Higher Price</v>
      </c>
    </row>
    <row r="20" spans="1:7" ht="15.75" customHeight="1" x14ac:dyDescent="0.25">
      <c r="A20" s="6" t="s">
        <v>75</v>
      </c>
      <c r="B20" s="6" t="s">
        <v>76</v>
      </c>
      <c r="C20" s="6" t="s">
        <v>77</v>
      </c>
      <c r="D20" s="10">
        <v>150</v>
      </c>
      <c r="E20" s="6">
        <v>15</v>
      </c>
      <c r="F20" s="6" t="s">
        <v>30</v>
      </c>
      <c r="G20" s="6" t="str">
        <v>Standard Price</v>
      </c>
    </row>
    <row r="21" spans="1:7" ht="15.75" customHeight="1" x14ac:dyDescent="0.25">
      <c r="A21" s="7" t="s">
        <v>78</v>
      </c>
      <c r="B21" s="7" t="s">
        <v>79</v>
      </c>
      <c r="C21" s="7" t="s">
        <v>80</v>
      </c>
      <c r="D21" s="11">
        <v>200</v>
      </c>
      <c r="E21" s="7">
        <v>10</v>
      </c>
      <c r="F21" s="7" t="s">
        <v>41</v>
      </c>
      <c r="G21" s="7" t="str">
        <v>Standard Price</v>
      </c>
    </row>
    <row r="22" spans="1:7" ht="15.75" customHeight="1" x14ac:dyDescent="0.25">
      <c r="A22" s="6" t="s">
        <v>81</v>
      </c>
      <c r="B22" s="6" t="s">
        <v>82</v>
      </c>
      <c r="C22" s="6" t="s">
        <v>83</v>
      </c>
      <c r="D22" s="10">
        <v>700</v>
      </c>
      <c r="E22" s="6">
        <v>50</v>
      </c>
      <c r="F22" s="6" t="s">
        <v>26</v>
      </c>
      <c r="G22" s="6" t="str">
        <v>Higher Price</v>
      </c>
    </row>
    <row r="23" spans="1:7" ht="15.75" customHeight="1" x14ac:dyDescent="0.25">
      <c r="A23" s="7" t="s">
        <v>84</v>
      </c>
      <c r="B23" s="7" t="s">
        <v>85</v>
      </c>
      <c r="C23" s="7" t="s">
        <v>86</v>
      </c>
      <c r="D23" s="11">
        <v>80</v>
      </c>
      <c r="E23" s="7">
        <v>20</v>
      </c>
      <c r="F23" s="7" t="s">
        <v>34</v>
      </c>
      <c r="G23" s="7" t="str">
        <v>Standard Price</v>
      </c>
    </row>
    <row r="24" spans="1:7" ht="15.75" customHeight="1" x14ac:dyDescent="0.25">
      <c r="A24" s="6" t="s">
        <v>87</v>
      </c>
      <c r="B24" s="6" t="s">
        <v>88</v>
      </c>
      <c r="C24" s="6" t="s">
        <v>89</v>
      </c>
      <c r="D24" s="10">
        <v>150</v>
      </c>
      <c r="E24" s="6">
        <v>30</v>
      </c>
      <c r="F24" s="6" t="s">
        <v>26</v>
      </c>
      <c r="G24" s="6" t="str">
        <v>Standard Price</v>
      </c>
    </row>
    <row r="25" spans="1:7" ht="15.75" customHeight="1" x14ac:dyDescent="0.25">
      <c r="A25" s="7" t="s">
        <v>67</v>
      </c>
      <c r="B25" s="7" t="s">
        <v>68</v>
      </c>
      <c r="C25" s="7" t="s">
        <v>69</v>
      </c>
      <c r="D25" s="11">
        <v>50</v>
      </c>
      <c r="E25" s="7">
        <v>35</v>
      </c>
      <c r="F25" s="7" t="s">
        <v>70</v>
      </c>
      <c r="G25" s="7" t="str">
        <v>Standard Price</v>
      </c>
    </row>
    <row r="26" spans="1:7" ht="15.75" customHeight="1" x14ac:dyDescent="0.25">
      <c r="A26" s="6" t="s">
        <v>90</v>
      </c>
      <c r="B26" s="6" t="s">
        <v>36</v>
      </c>
      <c r="C26" s="6" t="s">
        <v>91</v>
      </c>
      <c r="D26" s="10">
        <v>800</v>
      </c>
      <c r="E26" s="6">
        <v>45</v>
      </c>
      <c r="F26" s="6" t="s">
        <v>26</v>
      </c>
      <c r="G26" s="6" t="str">
        <v>Higher Price</v>
      </c>
    </row>
    <row r="27" spans="1:7" ht="15.75" customHeight="1" x14ac:dyDescent="0.25">
      <c r="A27" s="7" t="s">
        <v>92</v>
      </c>
      <c r="B27" s="7" t="s">
        <v>76</v>
      </c>
      <c r="C27" s="7" t="s">
        <v>93</v>
      </c>
      <c r="D27" s="11">
        <v>130</v>
      </c>
      <c r="E27" s="7">
        <v>25</v>
      </c>
      <c r="F27" s="7" t="s">
        <v>30</v>
      </c>
      <c r="G27" s="7" t="str">
        <v>Standard Price</v>
      </c>
    </row>
    <row r="28" spans="1:7" ht="15.75" customHeight="1" x14ac:dyDescent="0.25">
      <c r="A28" s="6" t="s">
        <v>94</v>
      </c>
      <c r="B28" s="6" t="s">
        <v>49</v>
      </c>
      <c r="C28" s="6" t="s">
        <v>95</v>
      </c>
      <c r="D28" s="10">
        <v>400</v>
      </c>
      <c r="E28" s="6">
        <v>40</v>
      </c>
      <c r="F28" s="6" t="s">
        <v>34</v>
      </c>
      <c r="G28" s="6" t="str">
        <v>Standard Price</v>
      </c>
    </row>
    <row r="29" spans="1:7" ht="15.75" customHeight="1" x14ac:dyDescent="0.25">
      <c r="A29" s="7" t="s">
        <v>65</v>
      </c>
      <c r="B29" s="7" t="s">
        <v>43</v>
      </c>
      <c r="C29" s="7" t="s">
        <v>66</v>
      </c>
      <c r="D29" s="11">
        <v>230</v>
      </c>
      <c r="E29" s="7">
        <v>20</v>
      </c>
      <c r="F29" s="7" t="s">
        <v>26</v>
      </c>
      <c r="G29" s="7" t="str">
        <v>Standard Price</v>
      </c>
    </row>
    <row r="30" spans="1:7" ht="15.75" customHeight="1" x14ac:dyDescent="0.25">
      <c r="A30" s="6" t="s">
        <v>96</v>
      </c>
      <c r="B30" s="6" t="s">
        <v>97</v>
      </c>
      <c r="C30" s="6" t="s">
        <v>98</v>
      </c>
      <c r="D30" s="10">
        <v>60</v>
      </c>
      <c r="E30" s="6">
        <v>30</v>
      </c>
      <c r="F30" s="6" t="s">
        <v>30</v>
      </c>
      <c r="G30" s="6" t="str">
        <v>Standard Price</v>
      </c>
    </row>
    <row r="31" spans="1:7" ht="15.75" customHeight="1" x14ac:dyDescent="0.25">
      <c r="A31" s="7" t="s">
        <v>99</v>
      </c>
      <c r="B31" s="7" t="s">
        <v>100</v>
      </c>
      <c r="C31" s="7" t="s">
        <v>101</v>
      </c>
      <c r="D31" s="11">
        <v>40</v>
      </c>
      <c r="E31" s="7">
        <v>10</v>
      </c>
      <c r="F31" s="7" t="s">
        <v>34</v>
      </c>
      <c r="G31" s="7" t="str">
        <v>Standard Price</v>
      </c>
    </row>
    <row r="32" spans="1:7" ht="15.75" customHeight="1" x14ac:dyDescent="0.25">
      <c r="A32" s="6" t="s">
        <v>102</v>
      </c>
      <c r="B32" s="6" t="s">
        <v>88</v>
      </c>
      <c r="C32" s="6" t="s">
        <v>103</v>
      </c>
      <c r="D32" s="10">
        <v>130</v>
      </c>
      <c r="E32" s="6">
        <v>5</v>
      </c>
      <c r="F32" s="6" t="s">
        <v>26</v>
      </c>
      <c r="G32" s="6" t="str">
        <v>Standard Price</v>
      </c>
    </row>
    <row r="33" spans="1:11" ht="15.75" customHeight="1" x14ac:dyDescent="0.25">
      <c r="A33" s="7" t="s">
        <v>104</v>
      </c>
      <c r="B33" s="7" t="s">
        <v>105</v>
      </c>
      <c r="C33" s="7" t="s">
        <v>106</v>
      </c>
      <c r="D33" s="11">
        <v>50</v>
      </c>
      <c r="E33" s="7">
        <v>50</v>
      </c>
      <c r="F33" s="7" t="s">
        <v>30</v>
      </c>
      <c r="G33" s="7" t="str">
        <v>Standard Price</v>
      </c>
    </row>
    <row r="34" spans="1:11" ht="15.75" customHeight="1" x14ac:dyDescent="0.25">
      <c r="A34" s="6" t="s">
        <v>57</v>
      </c>
      <c r="B34" s="6" t="s">
        <v>24</v>
      </c>
      <c r="C34" s="6" t="s">
        <v>58</v>
      </c>
      <c r="D34" s="10">
        <v>950</v>
      </c>
      <c r="E34" s="6">
        <v>25</v>
      </c>
      <c r="F34" s="6" t="s">
        <v>26</v>
      </c>
      <c r="G34" s="6" t="str">
        <v>Higher Price</v>
      </c>
    </row>
    <row r="35" spans="1:11" ht="15.75" customHeight="1" x14ac:dyDescent="0.25">
      <c r="A35" s="7" t="s">
        <v>107</v>
      </c>
      <c r="B35" s="7" t="s">
        <v>108</v>
      </c>
      <c r="C35" s="7" t="s">
        <v>109</v>
      </c>
      <c r="D35" s="11">
        <v>100</v>
      </c>
      <c r="E35" s="7">
        <v>20</v>
      </c>
      <c r="F35" s="7" t="s">
        <v>70</v>
      </c>
      <c r="G35" s="7" t="str">
        <v>Standard Price</v>
      </c>
    </row>
    <row r="36" spans="1:11" ht="15.75" customHeight="1" x14ac:dyDescent="0.25">
      <c r="D36" s="8"/>
    </row>
    <row r="37" spans="1:11" ht="16.2" customHeight="1" x14ac:dyDescent="0.25"/>
    <row r="38" spans="1:11" ht="15.75" customHeight="1" x14ac:dyDescent="0.25"/>
    <row r="39" spans="1:11" ht="15.75" customHeight="1" x14ac:dyDescent="0.25">
      <c r="A39" s="22" t="s">
        <v>110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</row>
    <row r="40" spans="1:11" ht="15.7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ht="15.7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spans="1:11" ht="15.75" customHeight="1" x14ac:dyDescent="0.25"/>
    <row r="43" spans="1:11" ht="15.75" customHeight="1" x14ac:dyDescent="0.3">
      <c r="A43" s="13" t="s">
        <v>1</v>
      </c>
      <c r="B43" s="13"/>
    </row>
    <row r="44" spans="1:11" ht="15.75" customHeight="1" x14ac:dyDescent="0.25"/>
    <row r="45" spans="1:11" ht="15.75" customHeight="1" x14ac:dyDescent="0.3">
      <c r="A45" s="14" t="s">
        <v>2</v>
      </c>
      <c r="B45" s="14"/>
      <c r="C45" s="14"/>
      <c r="D45" s="14"/>
    </row>
    <row r="46" spans="1:11" ht="15.75" customHeight="1" x14ac:dyDescent="0.25"/>
    <row r="47" spans="1:11" ht="15.75" customHeight="1" x14ac:dyDescent="0.25">
      <c r="A47" s="12">
        <f>SUM(D2:D35)</f>
        <v>10100</v>
      </c>
    </row>
    <row r="48" spans="1:11" ht="15.75" customHeight="1" x14ac:dyDescent="0.25"/>
    <row r="49" spans="1:4" ht="15.75" customHeight="1" x14ac:dyDescent="0.3">
      <c r="A49" s="14" t="s">
        <v>3</v>
      </c>
      <c r="B49" s="14"/>
      <c r="C49" s="14"/>
      <c r="D49" s="14"/>
    </row>
    <row r="50" spans="1:4" ht="15.75" customHeight="1" x14ac:dyDescent="0.25"/>
    <row r="51" spans="1:4" ht="15.75" customHeight="1" x14ac:dyDescent="0.25">
      <c r="B51" t="str" cm="1">
        <f t="array" ref="B51:B71">_xlfn.UNIQUE(B2:B35)</f>
        <v>Laptop</v>
      </c>
    </row>
    <row r="52" spans="1:4" ht="15.75" customHeight="1" x14ac:dyDescent="0.25">
      <c r="B52" t="str">
        <v>Sneakers</v>
      </c>
    </row>
    <row r="53" spans="1:4" ht="15.75" customHeight="1" x14ac:dyDescent="0.25">
      <c r="B53" t="str">
        <v>Coffee Maker</v>
      </c>
    </row>
    <row r="54" spans="1:4" ht="15.75" customHeight="1" x14ac:dyDescent="0.25">
      <c r="B54" t="str">
        <v>Smartphone</v>
      </c>
    </row>
    <row r="55" spans="1:4" ht="15.75" customHeight="1" x14ac:dyDescent="0.25">
      <c r="B55" t="str">
        <v>Backpack</v>
      </c>
    </row>
    <row r="56" spans="1:4" ht="15.75" customHeight="1" x14ac:dyDescent="0.25">
      <c r="B56" t="str">
        <v>Headphones</v>
      </c>
    </row>
    <row r="57" spans="1:4" ht="15.75" customHeight="1" x14ac:dyDescent="0.25">
      <c r="B57" t="str">
        <v>T-shirt</v>
      </c>
    </row>
    <row r="58" spans="1:4" ht="15.75" customHeight="1" x14ac:dyDescent="0.25">
      <c r="B58" t="str">
        <v>Blender</v>
      </c>
    </row>
    <row r="59" spans="1:4" ht="15.75" customHeight="1" x14ac:dyDescent="0.25">
      <c r="B59" t="str">
        <v>Tablet</v>
      </c>
    </row>
    <row r="60" spans="1:4" ht="15.75" customHeight="1" x14ac:dyDescent="0.25">
      <c r="B60" t="str">
        <v>Hiking Boots</v>
      </c>
    </row>
    <row r="61" spans="1:4" ht="15.75" customHeight="1" x14ac:dyDescent="0.25">
      <c r="B61" t="str">
        <v>Smartwatch</v>
      </c>
    </row>
    <row r="62" spans="1:4" ht="15.75" customHeight="1" x14ac:dyDescent="0.25">
      <c r="B62" t="str">
        <v>Laptop Bag</v>
      </c>
    </row>
    <row r="63" spans="1:4" ht="15.75" customHeight="1" x14ac:dyDescent="0.25">
      <c r="B63" t="str">
        <v>Sunglasses</v>
      </c>
    </row>
    <row r="64" spans="1:4" ht="15.75" customHeight="1" x14ac:dyDescent="0.25">
      <c r="B64" t="str">
        <v>Camping Tent</v>
      </c>
    </row>
    <row r="65" spans="1:4" ht="15.75" customHeight="1" x14ac:dyDescent="0.25">
      <c r="B65" t="str">
        <v>Camera</v>
      </c>
    </row>
    <row r="66" spans="1:4" ht="15.75" customHeight="1" x14ac:dyDescent="0.25">
      <c r="B66" t="str">
        <v>Microwave</v>
      </c>
    </row>
    <row r="67" spans="1:4" ht="15.75" customHeight="1" x14ac:dyDescent="0.25">
      <c r="B67" t="str">
        <v>Fitness Tracker</v>
      </c>
    </row>
    <row r="68" spans="1:4" ht="15.75" customHeight="1" x14ac:dyDescent="0.25">
      <c r="B68" t="str">
        <v>Dress</v>
      </c>
    </row>
    <row r="69" spans="1:4" ht="15.75" customHeight="1" x14ac:dyDescent="0.25">
      <c r="B69" t="str">
        <v>Toaster</v>
      </c>
    </row>
    <row r="70" spans="1:4" ht="15.75" customHeight="1" x14ac:dyDescent="0.25">
      <c r="B70" t="str">
        <v>Jeans</v>
      </c>
    </row>
    <row r="71" spans="1:4" ht="15.75" customHeight="1" x14ac:dyDescent="0.25">
      <c r="B71" t="str">
        <v>Watch</v>
      </c>
    </row>
    <row r="72" spans="1:4" ht="15.75" customHeight="1" x14ac:dyDescent="0.25"/>
    <row r="73" spans="1:4" ht="15.75" customHeight="1" x14ac:dyDescent="0.25">
      <c r="A73" s="17" t="s">
        <v>111</v>
      </c>
      <c r="B73" s="17"/>
    </row>
    <row r="74" spans="1:4" ht="15.75" customHeight="1" x14ac:dyDescent="0.25"/>
    <row r="75" spans="1:4" ht="15.75" customHeight="1" x14ac:dyDescent="0.25"/>
    <row r="76" spans="1:4" ht="15.75" customHeight="1" x14ac:dyDescent="0.3">
      <c r="A76" s="16" t="s">
        <v>4</v>
      </c>
      <c r="B76" s="16"/>
      <c r="C76" s="16"/>
      <c r="D76" s="16"/>
    </row>
    <row r="77" spans="1:4" ht="15.75" customHeight="1" x14ac:dyDescent="0.25"/>
    <row r="78" spans="1:4" ht="15.75" customHeight="1" x14ac:dyDescent="0.25"/>
    <row r="79" spans="1:4" ht="15.75" customHeight="1" x14ac:dyDescent="0.25">
      <c r="A79" s="15" t="s">
        <v>112</v>
      </c>
      <c r="B79" s="15"/>
      <c r="C79" s="15"/>
    </row>
    <row r="80" spans="1:4" ht="15.75" customHeight="1" x14ac:dyDescent="0.25">
      <c r="B80" s="9">
        <f>AVERAGE(D2:D35)</f>
        <v>297.05882352941177</v>
      </c>
    </row>
    <row r="81" spans="1:12" ht="15.75" customHeight="1" x14ac:dyDescent="0.25"/>
    <row r="82" spans="1:12" ht="15.75" customHeight="1" x14ac:dyDescent="0.3">
      <c r="A82" s="13" t="s">
        <v>5</v>
      </c>
      <c r="B82" s="13"/>
    </row>
    <row r="83" spans="1:12" ht="15.75" customHeight="1" x14ac:dyDescent="0.25"/>
    <row r="84" spans="1:12" ht="15.75" customHeight="1" x14ac:dyDescent="0.25"/>
    <row r="85" spans="1:12" ht="15.75" customHeight="1" x14ac:dyDescent="0.3">
      <c r="A85" s="16" t="s">
        <v>6</v>
      </c>
      <c r="B85" s="16"/>
      <c r="C85" s="16"/>
      <c r="D85" s="16"/>
    </row>
    <row r="86" spans="1:12" ht="15.75" customHeight="1" x14ac:dyDescent="0.25"/>
    <row r="87" spans="1:12" ht="15.75" customHeight="1" x14ac:dyDescent="0.25">
      <c r="B87" s="12">
        <f>MIN(D2:D35)</f>
        <v>30</v>
      </c>
    </row>
    <row r="88" spans="1:12" ht="15.75" customHeight="1" x14ac:dyDescent="0.25"/>
    <row r="89" spans="1:12" ht="15.75" customHeight="1" x14ac:dyDescent="0.3">
      <c r="A89" s="16" t="s">
        <v>7</v>
      </c>
      <c r="B89" s="16"/>
      <c r="C89" s="16"/>
      <c r="D89" s="16"/>
    </row>
    <row r="90" spans="1:12" ht="15.75" customHeight="1" x14ac:dyDescent="0.25"/>
    <row r="91" spans="1:12" ht="15.75" customHeight="1" x14ac:dyDescent="0.25">
      <c r="B91" s="12">
        <f>MAX(D2:D35)</f>
        <v>1000</v>
      </c>
    </row>
    <row r="92" spans="1:12" ht="15.75" customHeight="1" x14ac:dyDescent="0.25"/>
    <row r="93" spans="1:12" ht="15.75" customHeight="1" x14ac:dyDescent="0.3">
      <c r="A93" s="13" t="s">
        <v>8</v>
      </c>
      <c r="B93" s="13"/>
    </row>
    <row r="94" spans="1:12" ht="15.75" customHeight="1" x14ac:dyDescent="0.25"/>
    <row r="95" spans="1:12" ht="15.75" customHeight="1" x14ac:dyDescent="0.3">
      <c r="A95" s="14" t="s">
        <v>9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</row>
    <row r="96" spans="1:12" ht="15.75" customHeight="1" x14ac:dyDescent="0.25"/>
    <row r="97" spans="1:7" ht="15.75" customHeight="1" x14ac:dyDescent="0.25"/>
    <row r="98" spans="1:7" ht="15.75" customHeight="1" x14ac:dyDescent="0.25">
      <c r="A98" s="5" t="s">
        <v>17</v>
      </c>
      <c r="B98" s="5" t="s">
        <v>18</v>
      </c>
      <c r="C98" s="5" t="s">
        <v>19</v>
      </c>
      <c r="D98" s="5" t="s">
        <v>20</v>
      </c>
      <c r="E98" s="5" t="s">
        <v>21</v>
      </c>
      <c r="F98" s="5" t="s">
        <v>22</v>
      </c>
      <c r="G98" s="5" t="s">
        <v>113</v>
      </c>
    </row>
    <row r="99" spans="1:7" ht="15.75" customHeight="1" x14ac:dyDescent="0.25">
      <c r="A99" s="6" t="s">
        <v>23</v>
      </c>
      <c r="B99" s="6" t="s">
        <v>24</v>
      </c>
      <c r="C99" s="6" t="s">
        <v>25</v>
      </c>
      <c r="D99" s="10">
        <v>1000</v>
      </c>
      <c r="E99" s="6">
        <v>30</v>
      </c>
      <c r="F99" s="6" t="s">
        <v>26</v>
      </c>
      <c r="G99" s="6" t="str" cm="1">
        <f t="array" ref="G99:G132">IF(D99:D132&gt;=500,"Higher Price","Standard Price")</f>
        <v>Higher Price</v>
      </c>
    </row>
    <row r="100" spans="1:7" ht="15.75" customHeight="1" x14ac:dyDescent="0.25">
      <c r="A100" s="7" t="s">
        <v>27</v>
      </c>
      <c r="B100" s="7" t="s">
        <v>28</v>
      </c>
      <c r="C100" s="7" t="s">
        <v>29</v>
      </c>
      <c r="D100" s="11">
        <v>80</v>
      </c>
      <c r="E100" s="7">
        <v>15</v>
      </c>
      <c r="F100" s="7" t="s">
        <v>30</v>
      </c>
      <c r="G100" s="7" t="str">
        <v>Standard Price</v>
      </c>
    </row>
    <row r="101" spans="1:7" ht="15.75" customHeight="1" x14ac:dyDescent="0.25">
      <c r="A101" s="6" t="s">
        <v>31</v>
      </c>
      <c r="B101" s="6" t="s">
        <v>32</v>
      </c>
      <c r="C101" s="6" t="s">
        <v>33</v>
      </c>
      <c r="D101" s="10">
        <v>130</v>
      </c>
      <c r="E101" s="6">
        <v>40</v>
      </c>
      <c r="F101" s="6" t="s">
        <v>34</v>
      </c>
      <c r="G101" s="6" t="str">
        <v>Standard Price</v>
      </c>
    </row>
    <row r="102" spans="1:7" ht="15.75" customHeight="1" x14ac:dyDescent="0.25">
      <c r="A102" s="7" t="s">
        <v>35</v>
      </c>
      <c r="B102" s="7" t="s">
        <v>36</v>
      </c>
      <c r="C102" s="7" t="s">
        <v>37</v>
      </c>
      <c r="D102" s="11">
        <v>900</v>
      </c>
      <c r="E102" s="7">
        <v>25</v>
      </c>
      <c r="F102" s="7" t="s">
        <v>26</v>
      </c>
      <c r="G102" s="7" t="str">
        <v>Higher Price</v>
      </c>
    </row>
    <row r="103" spans="1:7" ht="15.75" customHeight="1" x14ac:dyDescent="0.25">
      <c r="A103" s="6" t="s">
        <v>38</v>
      </c>
      <c r="B103" s="6" t="s">
        <v>39</v>
      </c>
      <c r="C103" s="6" t="s">
        <v>40</v>
      </c>
      <c r="D103" s="10">
        <v>70</v>
      </c>
      <c r="E103" s="6">
        <v>20</v>
      </c>
      <c r="F103" s="6" t="s">
        <v>41</v>
      </c>
      <c r="G103" s="6" t="str">
        <v>Standard Price</v>
      </c>
    </row>
    <row r="104" spans="1:7" ht="15.75" customHeight="1" x14ac:dyDescent="0.25">
      <c r="A104" s="7" t="s">
        <v>42</v>
      </c>
      <c r="B104" s="7" t="s">
        <v>43</v>
      </c>
      <c r="C104" s="7" t="s">
        <v>44</v>
      </c>
      <c r="D104" s="11">
        <v>200</v>
      </c>
      <c r="E104" s="7">
        <v>45</v>
      </c>
      <c r="F104" s="7" t="s">
        <v>26</v>
      </c>
      <c r="G104" s="7" t="str">
        <v>Standard Price</v>
      </c>
    </row>
    <row r="105" spans="1:7" ht="15.75" customHeight="1" x14ac:dyDescent="0.25">
      <c r="A105" s="6" t="s">
        <v>45</v>
      </c>
      <c r="B105" s="6" t="s">
        <v>46</v>
      </c>
      <c r="C105" s="6" t="s">
        <v>47</v>
      </c>
      <c r="D105" s="10">
        <v>30</v>
      </c>
      <c r="E105" s="6">
        <v>5</v>
      </c>
      <c r="F105" s="6" t="s">
        <v>30</v>
      </c>
      <c r="G105" s="6" t="str">
        <v>Standard Price</v>
      </c>
    </row>
    <row r="106" spans="1:7" ht="15.75" customHeight="1" x14ac:dyDescent="0.25">
      <c r="A106" s="7" t="s">
        <v>48</v>
      </c>
      <c r="B106" s="7" t="s">
        <v>49</v>
      </c>
      <c r="C106" s="7" t="s">
        <v>50</v>
      </c>
      <c r="D106" s="11">
        <v>90</v>
      </c>
      <c r="E106" s="7">
        <v>35</v>
      </c>
      <c r="F106" s="7" t="s">
        <v>34</v>
      </c>
      <c r="G106" s="7" t="str">
        <v>Standard Price</v>
      </c>
    </row>
    <row r="107" spans="1:7" ht="15.75" customHeight="1" x14ac:dyDescent="0.25">
      <c r="A107" s="6" t="s">
        <v>51</v>
      </c>
      <c r="B107" s="6" t="s">
        <v>52</v>
      </c>
      <c r="C107" s="6" t="s">
        <v>53</v>
      </c>
      <c r="D107" s="10">
        <v>500</v>
      </c>
      <c r="E107" s="6">
        <v>50</v>
      </c>
      <c r="F107" s="6" t="s">
        <v>26</v>
      </c>
      <c r="G107" s="6" t="str">
        <v>Higher Price</v>
      </c>
    </row>
    <row r="108" spans="1:7" ht="15.75" customHeight="1" x14ac:dyDescent="0.25">
      <c r="A108" s="7" t="s">
        <v>54</v>
      </c>
      <c r="B108" s="7" t="s">
        <v>55</v>
      </c>
      <c r="C108" s="7" t="s">
        <v>56</v>
      </c>
      <c r="D108" s="11">
        <v>130</v>
      </c>
      <c r="E108" s="7">
        <v>10</v>
      </c>
      <c r="F108" s="7" t="s">
        <v>41</v>
      </c>
      <c r="G108" s="7" t="str">
        <v>Standard Price</v>
      </c>
    </row>
    <row r="109" spans="1:7" ht="15.75" customHeight="1" x14ac:dyDescent="0.25">
      <c r="A109" s="6" t="s">
        <v>57</v>
      </c>
      <c r="B109" s="6" t="s">
        <v>24</v>
      </c>
      <c r="C109" s="6" t="s">
        <v>58</v>
      </c>
      <c r="D109" s="10">
        <v>950</v>
      </c>
      <c r="E109" s="6">
        <v>25</v>
      </c>
      <c r="F109" s="6" t="s">
        <v>26</v>
      </c>
      <c r="G109" s="6" t="str">
        <v>Higher Price</v>
      </c>
    </row>
    <row r="110" spans="1:7" ht="15.75" customHeight="1" x14ac:dyDescent="0.25">
      <c r="A110" s="7" t="s">
        <v>59</v>
      </c>
      <c r="B110" s="7" t="s">
        <v>28</v>
      </c>
      <c r="C110" s="7" t="s">
        <v>47</v>
      </c>
      <c r="D110" s="11">
        <v>90</v>
      </c>
      <c r="E110" s="7">
        <v>40</v>
      </c>
      <c r="F110" s="7" t="s">
        <v>30</v>
      </c>
      <c r="G110" s="7" t="str">
        <v>Standard Price</v>
      </c>
    </row>
    <row r="111" spans="1:7" ht="15.75" customHeight="1" x14ac:dyDescent="0.25">
      <c r="A111" s="6" t="s">
        <v>60</v>
      </c>
      <c r="B111" s="6" t="s">
        <v>32</v>
      </c>
      <c r="C111" s="6" t="s">
        <v>61</v>
      </c>
      <c r="D111" s="10">
        <v>120</v>
      </c>
      <c r="E111" s="6">
        <v>35</v>
      </c>
      <c r="F111" s="6" t="s">
        <v>34</v>
      </c>
      <c r="G111" s="6" t="str">
        <v>Standard Price</v>
      </c>
    </row>
    <row r="112" spans="1:7" ht="15.75" customHeight="1" x14ac:dyDescent="0.25">
      <c r="A112" s="7" t="s">
        <v>62</v>
      </c>
      <c r="B112" s="7" t="s">
        <v>63</v>
      </c>
      <c r="C112" s="7" t="s">
        <v>64</v>
      </c>
      <c r="D112" s="11">
        <v>150</v>
      </c>
      <c r="E112" s="7">
        <v>15</v>
      </c>
      <c r="F112" s="7" t="s">
        <v>26</v>
      </c>
      <c r="G112" s="7" t="str">
        <v>Standard Price</v>
      </c>
    </row>
    <row r="113" spans="1:7" ht="15.75" customHeight="1" x14ac:dyDescent="0.25">
      <c r="A113" s="6" t="s">
        <v>65</v>
      </c>
      <c r="B113" s="6" t="s">
        <v>43</v>
      </c>
      <c r="C113" s="6" t="s">
        <v>66</v>
      </c>
      <c r="D113" s="10">
        <v>250</v>
      </c>
      <c r="E113" s="6">
        <v>20</v>
      </c>
      <c r="F113" s="6" t="s">
        <v>26</v>
      </c>
      <c r="G113" s="6" t="str">
        <v>Standard Price</v>
      </c>
    </row>
    <row r="114" spans="1:7" ht="15.75" customHeight="1" x14ac:dyDescent="0.25">
      <c r="A114" s="7" t="s">
        <v>67</v>
      </c>
      <c r="B114" s="7" t="s">
        <v>68</v>
      </c>
      <c r="C114" s="7" t="s">
        <v>69</v>
      </c>
      <c r="D114" s="11">
        <v>50</v>
      </c>
      <c r="E114" s="7">
        <v>35</v>
      </c>
      <c r="F114" s="7" t="s">
        <v>70</v>
      </c>
      <c r="G114" s="7" t="str">
        <v>Standard Price</v>
      </c>
    </row>
    <row r="115" spans="1:7" ht="15.75" customHeight="1" x14ac:dyDescent="0.25">
      <c r="A115" s="6" t="s">
        <v>71</v>
      </c>
      <c r="B115" s="6" t="s">
        <v>63</v>
      </c>
      <c r="C115" s="6" t="s">
        <v>72</v>
      </c>
      <c r="D115" s="10">
        <v>160</v>
      </c>
      <c r="E115" s="6">
        <v>15</v>
      </c>
      <c r="F115" s="6" t="s">
        <v>26</v>
      </c>
      <c r="G115" s="6" t="str">
        <v>Standard Price</v>
      </c>
    </row>
    <row r="116" spans="1:7" ht="15.75" customHeight="1" x14ac:dyDescent="0.25">
      <c r="A116" s="7" t="s">
        <v>73</v>
      </c>
      <c r="B116" s="7" t="s">
        <v>24</v>
      </c>
      <c r="C116" s="7" t="s">
        <v>74</v>
      </c>
      <c r="D116" s="11">
        <v>980</v>
      </c>
      <c r="E116" s="7">
        <v>10</v>
      </c>
      <c r="F116" s="7" t="s">
        <v>26</v>
      </c>
      <c r="G116" s="7" t="str">
        <v>Higher Price</v>
      </c>
    </row>
    <row r="117" spans="1:7" ht="15.75" customHeight="1" x14ac:dyDescent="0.25">
      <c r="A117" s="6" t="s">
        <v>75</v>
      </c>
      <c r="B117" s="6" t="s">
        <v>76</v>
      </c>
      <c r="C117" s="6" t="s">
        <v>77</v>
      </c>
      <c r="D117" s="10">
        <v>150</v>
      </c>
      <c r="E117" s="6">
        <v>15</v>
      </c>
      <c r="F117" s="6" t="s">
        <v>30</v>
      </c>
      <c r="G117" s="6" t="str">
        <v>Standard Price</v>
      </c>
    </row>
    <row r="118" spans="1:7" ht="15.75" customHeight="1" x14ac:dyDescent="0.25">
      <c r="A118" s="7" t="s">
        <v>78</v>
      </c>
      <c r="B118" s="7" t="s">
        <v>79</v>
      </c>
      <c r="C118" s="7" t="s">
        <v>80</v>
      </c>
      <c r="D118" s="11">
        <v>200</v>
      </c>
      <c r="E118" s="7">
        <v>10</v>
      </c>
      <c r="F118" s="7" t="s">
        <v>41</v>
      </c>
      <c r="G118" s="7" t="str">
        <v>Standard Price</v>
      </c>
    </row>
    <row r="119" spans="1:7" ht="15.75" customHeight="1" x14ac:dyDescent="0.25">
      <c r="A119" s="6" t="s">
        <v>81</v>
      </c>
      <c r="B119" s="6" t="s">
        <v>82</v>
      </c>
      <c r="C119" s="6" t="s">
        <v>83</v>
      </c>
      <c r="D119" s="10">
        <v>700</v>
      </c>
      <c r="E119" s="6">
        <v>50</v>
      </c>
      <c r="F119" s="6" t="s">
        <v>26</v>
      </c>
      <c r="G119" s="6" t="str">
        <v>Higher Price</v>
      </c>
    </row>
    <row r="120" spans="1:7" ht="15.75" customHeight="1" x14ac:dyDescent="0.25">
      <c r="A120" s="7" t="s">
        <v>84</v>
      </c>
      <c r="B120" s="7" t="s">
        <v>85</v>
      </c>
      <c r="C120" s="7" t="s">
        <v>86</v>
      </c>
      <c r="D120" s="11">
        <v>80</v>
      </c>
      <c r="E120" s="7">
        <v>20</v>
      </c>
      <c r="F120" s="7" t="s">
        <v>34</v>
      </c>
      <c r="G120" s="7" t="str">
        <v>Standard Price</v>
      </c>
    </row>
    <row r="121" spans="1:7" ht="15.75" customHeight="1" x14ac:dyDescent="0.25">
      <c r="A121" s="6" t="s">
        <v>87</v>
      </c>
      <c r="B121" s="6" t="s">
        <v>88</v>
      </c>
      <c r="C121" s="6" t="s">
        <v>89</v>
      </c>
      <c r="D121" s="10">
        <v>150</v>
      </c>
      <c r="E121" s="6">
        <v>30</v>
      </c>
      <c r="F121" s="6" t="s">
        <v>26</v>
      </c>
      <c r="G121" s="6" t="str">
        <v>Standard Price</v>
      </c>
    </row>
    <row r="122" spans="1:7" ht="15.75" customHeight="1" x14ac:dyDescent="0.25">
      <c r="A122" s="7" t="s">
        <v>67</v>
      </c>
      <c r="B122" s="7" t="s">
        <v>68</v>
      </c>
      <c r="C122" s="7" t="s">
        <v>69</v>
      </c>
      <c r="D122" s="11">
        <v>50</v>
      </c>
      <c r="E122" s="7">
        <v>35</v>
      </c>
      <c r="F122" s="7" t="s">
        <v>70</v>
      </c>
      <c r="G122" s="7" t="str">
        <v>Standard Price</v>
      </c>
    </row>
    <row r="123" spans="1:7" ht="15.75" customHeight="1" x14ac:dyDescent="0.25">
      <c r="A123" s="6" t="s">
        <v>90</v>
      </c>
      <c r="B123" s="6" t="s">
        <v>36</v>
      </c>
      <c r="C123" s="6" t="s">
        <v>91</v>
      </c>
      <c r="D123" s="10">
        <v>800</v>
      </c>
      <c r="E123" s="6">
        <v>45</v>
      </c>
      <c r="F123" s="6" t="s">
        <v>26</v>
      </c>
      <c r="G123" s="6" t="str">
        <v>Higher Price</v>
      </c>
    </row>
    <row r="124" spans="1:7" ht="15.75" customHeight="1" x14ac:dyDescent="0.25">
      <c r="A124" s="7" t="s">
        <v>92</v>
      </c>
      <c r="B124" s="7" t="s">
        <v>76</v>
      </c>
      <c r="C124" s="7" t="s">
        <v>93</v>
      </c>
      <c r="D124" s="11">
        <v>130</v>
      </c>
      <c r="E124" s="7">
        <v>25</v>
      </c>
      <c r="F124" s="7" t="s">
        <v>30</v>
      </c>
      <c r="G124" s="7" t="str">
        <v>Standard Price</v>
      </c>
    </row>
    <row r="125" spans="1:7" ht="15.75" customHeight="1" x14ac:dyDescent="0.25">
      <c r="A125" s="6" t="s">
        <v>94</v>
      </c>
      <c r="B125" s="6" t="s">
        <v>49</v>
      </c>
      <c r="C125" s="6" t="s">
        <v>95</v>
      </c>
      <c r="D125" s="10">
        <v>400</v>
      </c>
      <c r="E125" s="6">
        <v>40</v>
      </c>
      <c r="F125" s="6" t="s">
        <v>34</v>
      </c>
      <c r="G125" s="6" t="str">
        <v>Standard Price</v>
      </c>
    </row>
    <row r="126" spans="1:7" ht="15.75" customHeight="1" x14ac:dyDescent="0.25">
      <c r="A126" s="7" t="s">
        <v>65</v>
      </c>
      <c r="B126" s="7" t="s">
        <v>43</v>
      </c>
      <c r="C126" s="7" t="s">
        <v>66</v>
      </c>
      <c r="D126" s="11">
        <v>230</v>
      </c>
      <c r="E126" s="7">
        <v>20</v>
      </c>
      <c r="F126" s="7" t="s">
        <v>26</v>
      </c>
      <c r="G126" s="7" t="str">
        <v>Standard Price</v>
      </c>
    </row>
    <row r="127" spans="1:7" ht="15.75" customHeight="1" x14ac:dyDescent="0.25">
      <c r="A127" s="6" t="s">
        <v>96</v>
      </c>
      <c r="B127" s="6" t="s">
        <v>97</v>
      </c>
      <c r="C127" s="6" t="s">
        <v>98</v>
      </c>
      <c r="D127" s="10">
        <v>60</v>
      </c>
      <c r="E127" s="6">
        <v>30</v>
      </c>
      <c r="F127" s="6" t="s">
        <v>30</v>
      </c>
      <c r="G127" s="6" t="str">
        <v>Standard Price</v>
      </c>
    </row>
    <row r="128" spans="1:7" ht="15.75" customHeight="1" x14ac:dyDescent="0.25">
      <c r="A128" s="7" t="s">
        <v>99</v>
      </c>
      <c r="B128" s="7" t="s">
        <v>100</v>
      </c>
      <c r="C128" s="7" t="s">
        <v>101</v>
      </c>
      <c r="D128" s="11">
        <v>40</v>
      </c>
      <c r="E128" s="7">
        <v>10</v>
      </c>
      <c r="F128" s="7" t="s">
        <v>34</v>
      </c>
      <c r="G128" s="7" t="str">
        <v>Standard Price</v>
      </c>
    </row>
    <row r="129" spans="1:7" ht="15.75" customHeight="1" x14ac:dyDescent="0.25">
      <c r="A129" s="6" t="s">
        <v>102</v>
      </c>
      <c r="B129" s="6" t="s">
        <v>88</v>
      </c>
      <c r="C129" s="6" t="s">
        <v>103</v>
      </c>
      <c r="D129" s="10">
        <v>130</v>
      </c>
      <c r="E129" s="6">
        <v>5</v>
      </c>
      <c r="F129" s="6" t="s">
        <v>26</v>
      </c>
      <c r="G129" s="6" t="str">
        <v>Standard Price</v>
      </c>
    </row>
    <row r="130" spans="1:7" ht="15.75" customHeight="1" x14ac:dyDescent="0.25">
      <c r="A130" s="7" t="s">
        <v>104</v>
      </c>
      <c r="B130" s="7" t="s">
        <v>105</v>
      </c>
      <c r="C130" s="7" t="s">
        <v>106</v>
      </c>
      <c r="D130" s="11">
        <v>50</v>
      </c>
      <c r="E130" s="7">
        <v>50</v>
      </c>
      <c r="F130" s="7" t="s">
        <v>30</v>
      </c>
      <c r="G130" s="7" t="str">
        <v>Standard Price</v>
      </c>
    </row>
    <row r="131" spans="1:7" ht="15.75" customHeight="1" x14ac:dyDescent="0.25">
      <c r="A131" s="6" t="s">
        <v>57</v>
      </c>
      <c r="B131" s="6" t="s">
        <v>24</v>
      </c>
      <c r="C131" s="6" t="s">
        <v>58</v>
      </c>
      <c r="D131" s="10">
        <v>950</v>
      </c>
      <c r="E131" s="6">
        <v>25</v>
      </c>
      <c r="F131" s="6" t="s">
        <v>26</v>
      </c>
      <c r="G131" s="6" t="str">
        <v>Higher Price</v>
      </c>
    </row>
    <row r="132" spans="1:7" ht="15.75" customHeight="1" x14ac:dyDescent="0.25">
      <c r="A132" s="7" t="s">
        <v>107</v>
      </c>
      <c r="B132" s="7" t="s">
        <v>108</v>
      </c>
      <c r="C132" s="7" t="s">
        <v>109</v>
      </c>
      <c r="D132" s="11">
        <v>100</v>
      </c>
      <c r="E132" s="7">
        <v>20</v>
      </c>
      <c r="F132" s="7" t="s">
        <v>70</v>
      </c>
      <c r="G132" s="7" t="str">
        <v>Standard Price</v>
      </c>
    </row>
    <row r="133" spans="1:7" ht="15.75" customHeight="1" x14ac:dyDescent="0.25"/>
    <row r="134" spans="1:7" ht="15.75" customHeight="1" x14ac:dyDescent="0.25"/>
    <row r="135" spans="1:7" ht="15.75" customHeight="1" x14ac:dyDescent="0.25"/>
    <row r="136" spans="1:7" ht="15.75" customHeight="1" x14ac:dyDescent="0.3">
      <c r="A136" s="13" t="s">
        <v>10</v>
      </c>
      <c r="B136" s="13"/>
    </row>
    <row r="137" spans="1:7" ht="15.75" customHeight="1" x14ac:dyDescent="0.25"/>
    <row r="138" spans="1:7" ht="15.75" customHeight="1" x14ac:dyDescent="0.3">
      <c r="A138" s="14" t="s">
        <v>11</v>
      </c>
      <c r="B138" s="14"/>
      <c r="C138" s="14"/>
      <c r="D138" s="14"/>
      <c r="E138" s="14"/>
      <c r="F138" s="14"/>
      <c r="G138" s="14"/>
    </row>
    <row r="139" spans="1:7" ht="15.75" customHeight="1" x14ac:dyDescent="0.25"/>
    <row r="140" spans="1:7" ht="15.75" customHeight="1" x14ac:dyDescent="0.25">
      <c r="B140">
        <f>SUMIF(F2:F35,F2,D2:D35)</f>
        <v>8050</v>
      </c>
    </row>
    <row r="141" spans="1:7" ht="15.75" customHeight="1" x14ac:dyDescent="0.25"/>
    <row r="142" spans="1:7" ht="15.75" customHeight="1" x14ac:dyDescent="0.3">
      <c r="A142" s="14" t="s">
        <v>12</v>
      </c>
      <c r="B142" s="14"/>
      <c r="C142" s="14"/>
      <c r="D142" s="14"/>
      <c r="E142" s="14"/>
      <c r="F142" s="14"/>
    </row>
    <row r="143" spans="1:7" ht="15.75" customHeight="1" x14ac:dyDescent="0.25"/>
    <row r="144" spans="1:7" ht="15.75" customHeight="1" x14ac:dyDescent="0.25"/>
    <row r="145" spans="1:10" ht="15.75" customHeight="1" x14ac:dyDescent="0.25">
      <c r="B145">
        <f>COUNTIF(D2:D35,"&lt;100")</f>
        <v>11</v>
      </c>
      <c r="E145" s="21"/>
    </row>
    <row r="146" spans="1:10" ht="15.75" customHeight="1" x14ac:dyDescent="0.25"/>
    <row r="147" spans="1:10" ht="15.75" customHeight="1" x14ac:dyDescent="0.25"/>
    <row r="148" spans="1:10" ht="15.75" customHeight="1" x14ac:dyDescent="0.3">
      <c r="A148" s="2" t="s">
        <v>13</v>
      </c>
    </row>
    <row r="149" spans="1:10" ht="15.75" customHeight="1" x14ac:dyDescent="0.25"/>
    <row r="150" spans="1:10" ht="15.75" customHeight="1" x14ac:dyDescent="0.3">
      <c r="A150" s="18" t="s">
        <v>14</v>
      </c>
      <c r="B150" s="19"/>
      <c r="C150" s="19"/>
      <c r="D150" s="19"/>
      <c r="E150" s="19"/>
      <c r="F150" s="19"/>
      <c r="G150" s="19"/>
      <c r="H150" s="19"/>
    </row>
    <row r="151" spans="1:10" ht="15.75" customHeight="1" x14ac:dyDescent="0.3">
      <c r="A151" s="18" t="s">
        <v>15</v>
      </c>
      <c r="B151" s="19"/>
      <c r="C151" s="19"/>
      <c r="D151" s="19"/>
      <c r="E151" s="19"/>
      <c r="F151" s="19"/>
      <c r="G151" s="19"/>
      <c r="H151" s="19"/>
      <c r="I151" s="19"/>
      <c r="J151" s="19"/>
    </row>
    <row r="152" spans="1:10" ht="15.75" customHeight="1" x14ac:dyDescent="0.3">
      <c r="A152" s="18" t="s">
        <v>16</v>
      </c>
      <c r="B152" s="19"/>
      <c r="C152" s="19"/>
      <c r="D152" s="19"/>
      <c r="E152" s="19"/>
      <c r="F152" s="19"/>
      <c r="G152" s="19"/>
      <c r="H152" s="19"/>
      <c r="I152" s="19"/>
    </row>
    <row r="153" spans="1:10" ht="15.75" customHeight="1" x14ac:dyDescent="0.25"/>
    <row r="154" spans="1:10" ht="15.75" customHeight="1" x14ac:dyDescent="0.25"/>
    <row r="155" spans="1:10" ht="15.75" customHeight="1" x14ac:dyDescent="0.25"/>
    <row r="156" spans="1:10" ht="15.75" customHeight="1" x14ac:dyDescent="0.25"/>
    <row r="157" spans="1:10" ht="15.75" customHeight="1" x14ac:dyDescent="0.25"/>
    <row r="158" spans="1:10" ht="15.75" customHeight="1" x14ac:dyDescent="0.25">
      <c r="A158" s="5" t="s">
        <v>17</v>
      </c>
      <c r="B158" s="5" t="s">
        <v>18</v>
      </c>
      <c r="C158" s="5" t="s">
        <v>19</v>
      </c>
      <c r="D158" s="5" t="s">
        <v>20</v>
      </c>
      <c r="E158" s="5" t="s">
        <v>21</v>
      </c>
      <c r="F158" s="5" t="s">
        <v>22</v>
      </c>
      <c r="G158" s="5" t="s">
        <v>113</v>
      </c>
      <c r="H158" s="20" t="s">
        <v>114</v>
      </c>
      <c r="I158" s="20" t="s">
        <v>115</v>
      </c>
      <c r="J158" s="20" t="s">
        <v>116</v>
      </c>
    </row>
    <row r="159" spans="1:10" ht="15.75" customHeight="1" x14ac:dyDescent="0.25">
      <c r="A159" s="6" t="s">
        <v>23</v>
      </c>
      <c r="B159" s="6" t="s">
        <v>24</v>
      </c>
      <c r="C159" s="6" t="s">
        <v>25</v>
      </c>
      <c r="D159" s="10">
        <v>1000</v>
      </c>
      <c r="E159" s="6">
        <v>30</v>
      </c>
      <c r="F159" s="6" t="s">
        <v>26</v>
      </c>
      <c r="G159" s="6" t="str" cm="1">
        <f t="array" ref="G159:G192">IF(D159:D192&gt;=500,"Higher Price","Standard Price")</f>
        <v>Higher Price</v>
      </c>
      <c r="H159" s="6" t="str">
        <f>LEFT(A159,2)</f>
        <v>28</v>
      </c>
      <c r="I159" t="str">
        <f>RIGHT(A159,2)</f>
        <v>US</v>
      </c>
      <c r="J159" t="str">
        <f>MID(A159,4,3)</f>
        <v>JAN</v>
      </c>
    </row>
    <row r="160" spans="1:10" ht="15.75" customHeight="1" x14ac:dyDescent="0.25">
      <c r="A160" s="7" t="s">
        <v>27</v>
      </c>
      <c r="B160" s="7" t="s">
        <v>28</v>
      </c>
      <c r="C160" s="7" t="s">
        <v>29</v>
      </c>
      <c r="D160" s="11">
        <v>80</v>
      </c>
      <c r="E160" s="7">
        <v>15</v>
      </c>
      <c r="F160" s="7" t="s">
        <v>30</v>
      </c>
      <c r="G160" s="7" t="str">
        <v>Standard Price</v>
      </c>
      <c r="H160" s="7" t="str">
        <f t="shared" ref="H160:H192" si="0">LEFT(A160,2)</f>
        <v>15</v>
      </c>
      <c r="I160" t="str">
        <f t="shared" ref="I160:I192" si="1">RIGHT(A160,2)</f>
        <v>US</v>
      </c>
      <c r="J160" t="str">
        <f t="shared" ref="J160:J192" si="2">MID(A160,4,3)</f>
        <v>FEB</v>
      </c>
    </row>
    <row r="161" spans="1:10" ht="15.75" customHeight="1" x14ac:dyDescent="0.25">
      <c r="A161" s="6" t="s">
        <v>31</v>
      </c>
      <c r="B161" s="6" t="s">
        <v>32</v>
      </c>
      <c r="C161" s="6" t="s">
        <v>33</v>
      </c>
      <c r="D161" s="10">
        <v>130</v>
      </c>
      <c r="E161" s="6">
        <v>40</v>
      </c>
      <c r="F161" s="6" t="s">
        <v>34</v>
      </c>
      <c r="G161" s="6" t="str">
        <v>Standard Price</v>
      </c>
      <c r="H161" t="str">
        <f t="shared" si="0"/>
        <v>03</v>
      </c>
      <c r="I161" t="str">
        <f t="shared" si="1"/>
        <v>US</v>
      </c>
      <c r="J161" t="str">
        <f t="shared" si="2"/>
        <v>MAR</v>
      </c>
    </row>
    <row r="162" spans="1:10" ht="15.75" customHeight="1" x14ac:dyDescent="0.25">
      <c r="A162" s="7" t="s">
        <v>35</v>
      </c>
      <c r="B162" s="7" t="s">
        <v>36</v>
      </c>
      <c r="C162" s="7" t="s">
        <v>37</v>
      </c>
      <c r="D162" s="11">
        <v>900</v>
      </c>
      <c r="E162" s="7">
        <v>25</v>
      </c>
      <c r="F162" s="7" t="s">
        <v>26</v>
      </c>
      <c r="G162" s="7" t="str">
        <v>Higher Price</v>
      </c>
      <c r="H162" t="str">
        <f t="shared" si="0"/>
        <v>11</v>
      </c>
      <c r="I162" t="str">
        <f t="shared" si="1"/>
        <v>US</v>
      </c>
      <c r="J162" t="str">
        <f t="shared" si="2"/>
        <v>APR</v>
      </c>
    </row>
    <row r="163" spans="1:10" ht="15.75" customHeight="1" x14ac:dyDescent="0.25">
      <c r="A163" s="6" t="s">
        <v>38</v>
      </c>
      <c r="B163" s="6" t="s">
        <v>39</v>
      </c>
      <c r="C163" s="6" t="s">
        <v>40</v>
      </c>
      <c r="D163" s="10">
        <v>70</v>
      </c>
      <c r="E163" s="6">
        <v>20</v>
      </c>
      <c r="F163" s="6" t="s">
        <v>41</v>
      </c>
      <c r="G163" s="6" t="str">
        <v>Standard Price</v>
      </c>
      <c r="H163" t="str">
        <f t="shared" si="0"/>
        <v>22</v>
      </c>
      <c r="I163" t="str">
        <f t="shared" si="1"/>
        <v>US</v>
      </c>
      <c r="J163" t="str">
        <f t="shared" si="2"/>
        <v>MAY</v>
      </c>
    </row>
    <row r="164" spans="1:10" ht="15.75" customHeight="1" x14ac:dyDescent="0.25">
      <c r="A164" s="7" t="s">
        <v>42</v>
      </c>
      <c r="B164" s="7" t="s">
        <v>43</v>
      </c>
      <c r="C164" s="7" t="s">
        <v>44</v>
      </c>
      <c r="D164" s="11">
        <v>200</v>
      </c>
      <c r="E164" s="7">
        <v>45</v>
      </c>
      <c r="F164" s="7" t="s">
        <v>26</v>
      </c>
      <c r="G164" s="7" t="str">
        <v>Standard Price</v>
      </c>
      <c r="H164" t="str">
        <f t="shared" si="0"/>
        <v>07</v>
      </c>
      <c r="I164" t="str">
        <f t="shared" si="1"/>
        <v>UK</v>
      </c>
      <c r="J164" t="str">
        <f t="shared" si="2"/>
        <v>JUN</v>
      </c>
    </row>
    <row r="165" spans="1:10" ht="15.75" customHeight="1" x14ac:dyDescent="0.25">
      <c r="A165" s="6" t="s">
        <v>45</v>
      </c>
      <c r="B165" s="6" t="s">
        <v>46</v>
      </c>
      <c r="C165" s="6" t="s">
        <v>47</v>
      </c>
      <c r="D165" s="10">
        <v>30</v>
      </c>
      <c r="E165" s="6">
        <v>5</v>
      </c>
      <c r="F165" s="6" t="s">
        <v>30</v>
      </c>
      <c r="G165" s="6" t="str">
        <v>Standard Price</v>
      </c>
      <c r="H165" t="str">
        <f t="shared" si="0"/>
        <v>19</v>
      </c>
      <c r="I165" t="str">
        <f t="shared" si="1"/>
        <v>UK</v>
      </c>
      <c r="J165" t="str">
        <f t="shared" si="2"/>
        <v>JUL</v>
      </c>
    </row>
    <row r="166" spans="1:10" ht="15.75" customHeight="1" x14ac:dyDescent="0.25">
      <c r="A166" s="7" t="s">
        <v>48</v>
      </c>
      <c r="B166" s="7" t="s">
        <v>49</v>
      </c>
      <c r="C166" s="7" t="s">
        <v>50</v>
      </c>
      <c r="D166" s="11">
        <v>90</v>
      </c>
      <c r="E166" s="7">
        <v>35</v>
      </c>
      <c r="F166" s="7" t="s">
        <v>34</v>
      </c>
      <c r="G166" s="7" t="str">
        <v>Standard Price</v>
      </c>
      <c r="H166" t="str">
        <f t="shared" si="0"/>
        <v>23</v>
      </c>
      <c r="I166" t="str">
        <f t="shared" si="1"/>
        <v>UK</v>
      </c>
      <c r="J166" t="str">
        <f t="shared" si="2"/>
        <v>AUG</v>
      </c>
    </row>
    <row r="167" spans="1:10" ht="15.75" customHeight="1" x14ac:dyDescent="0.25">
      <c r="A167" s="6" t="s">
        <v>51</v>
      </c>
      <c r="B167" s="6" t="s">
        <v>52</v>
      </c>
      <c r="C167" s="6" t="s">
        <v>53</v>
      </c>
      <c r="D167" s="10">
        <v>500</v>
      </c>
      <c r="E167" s="6">
        <v>50</v>
      </c>
      <c r="F167" s="6" t="s">
        <v>26</v>
      </c>
      <c r="G167" s="6" t="str">
        <v>Higher Price</v>
      </c>
      <c r="H167" t="str">
        <f t="shared" si="0"/>
        <v>05</v>
      </c>
      <c r="I167" t="str">
        <f t="shared" si="1"/>
        <v>UK</v>
      </c>
      <c r="J167" t="str">
        <f t="shared" si="2"/>
        <v>SEP</v>
      </c>
    </row>
    <row r="168" spans="1:10" ht="15.75" customHeight="1" x14ac:dyDescent="0.25">
      <c r="A168" s="7" t="s">
        <v>54</v>
      </c>
      <c r="B168" s="7" t="s">
        <v>55</v>
      </c>
      <c r="C168" s="7" t="s">
        <v>56</v>
      </c>
      <c r="D168" s="11">
        <v>130</v>
      </c>
      <c r="E168" s="7">
        <v>10</v>
      </c>
      <c r="F168" s="7" t="s">
        <v>41</v>
      </c>
      <c r="G168" s="7" t="str">
        <v>Standard Price</v>
      </c>
      <c r="H168" t="str">
        <f t="shared" si="0"/>
        <v>14</v>
      </c>
      <c r="I168" t="str">
        <f t="shared" si="1"/>
        <v>UK</v>
      </c>
      <c r="J168" t="str">
        <f t="shared" si="2"/>
        <v>OCT</v>
      </c>
    </row>
    <row r="169" spans="1:10" ht="15.75" customHeight="1" x14ac:dyDescent="0.25">
      <c r="A169" s="6" t="s">
        <v>57</v>
      </c>
      <c r="B169" s="6" t="s">
        <v>24</v>
      </c>
      <c r="C169" s="6" t="s">
        <v>58</v>
      </c>
      <c r="D169" s="10">
        <v>950</v>
      </c>
      <c r="E169" s="6">
        <v>25</v>
      </c>
      <c r="F169" s="6" t="s">
        <v>26</v>
      </c>
      <c r="G169" s="6" t="str">
        <v>Higher Price</v>
      </c>
      <c r="H169" t="str">
        <f t="shared" si="0"/>
        <v>17</v>
      </c>
      <c r="I169" t="str">
        <f t="shared" si="1"/>
        <v>IN</v>
      </c>
      <c r="J169" t="str">
        <f t="shared" si="2"/>
        <v>JUN</v>
      </c>
    </row>
    <row r="170" spans="1:10" ht="15.75" customHeight="1" x14ac:dyDescent="0.25">
      <c r="A170" s="7" t="s">
        <v>59</v>
      </c>
      <c r="B170" s="7" t="s">
        <v>28</v>
      </c>
      <c r="C170" s="7" t="s">
        <v>47</v>
      </c>
      <c r="D170" s="11">
        <v>90</v>
      </c>
      <c r="E170" s="7">
        <v>40</v>
      </c>
      <c r="F170" s="7" t="s">
        <v>30</v>
      </c>
      <c r="G170" s="7" t="str">
        <v>Standard Price</v>
      </c>
      <c r="H170" t="str">
        <f t="shared" si="0"/>
        <v>25</v>
      </c>
      <c r="I170" t="str">
        <f t="shared" si="1"/>
        <v>AU</v>
      </c>
      <c r="J170" t="str">
        <f t="shared" si="2"/>
        <v>NOV</v>
      </c>
    </row>
    <row r="171" spans="1:10" ht="15.75" customHeight="1" x14ac:dyDescent="0.25">
      <c r="A171" s="6" t="s">
        <v>60</v>
      </c>
      <c r="B171" s="6" t="s">
        <v>32</v>
      </c>
      <c r="C171" s="6" t="s">
        <v>61</v>
      </c>
      <c r="D171" s="10">
        <v>120</v>
      </c>
      <c r="E171" s="6">
        <v>35</v>
      </c>
      <c r="F171" s="6" t="s">
        <v>34</v>
      </c>
      <c r="G171" s="6" t="str">
        <v>Standard Price</v>
      </c>
      <c r="H171" t="str">
        <f t="shared" si="0"/>
        <v>08</v>
      </c>
      <c r="I171" t="str">
        <f t="shared" si="1"/>
        <v>DE</v>
      </c>
      <c r="J171" t="str">
        <f t="shared" si="2"/>
        <v>DEC</v>
      </c>
    </row>
    <row r="172" spans="1:10" ht="15.75" customHeight="1" x14ac:dyDescent="0.25">
      <c r="A172" s="7" t="s">
        <v>62</v>
      </c>
      <c r="B172" s="7" t="s">
        <v>63</v>
      </c>
      <c r="C172" s="7" t="s">
        <v>64</v>
      </c>
      <c r="D172" s="11">
        <v>150</v>
      </c>
      <c r="E172" s="7">
        <v>15</v>
      </c>
      <c r="F172" s="7" t="s">
        <v>26</v>
      </c>
      <c r="G172" s="7" t="str">
        <v>Standard Price</v>
      </c>
      <c r="H172" t="str">
        <f t="shared" si="0"/>
        <v>18</v>
      </c>
      <c r="I172" t="str">
        <f t="shared" si="1"/>
        <v>CA</v>
      </c>
      <c r="J172" t="str">
        <f t="shared" si="2"/>
        <v>FEB</v>
      </c>
    </row>
    <row r="173" spans="1:10" ht="15.75" customHeight="1" x14ac:dyDescent="0.25">
      <c r="A173" s="6" t="s">
        <v>65</v>
      </c>
      <c r="B173" s="6" t="s">
        <v>43</v>
      </c>
      <c r="C173" s="6" t="s">
        <v>66</v>
      </c>
      <c r="D173" s="10">
        <v>250</v>
      </c>
      <c r="E173" s="6">
        <v>20</v>
      </c>
      <c r="F173" s="6" t="s">
        <v>26</v>
      </c>
      <c r="G173" s="6" t="str">
        <v>Standard Price</v>
      </c>
      <c r="H173" t="str">
        <f t="shared" si="0"/>
        <v>16</v>
      </c>
      <c r="I173" t="str">
        <f t="shared" si="1"/>
        <v>ES</v>
      </c>
      <c r="J173" t="str">
        <f t="shared" si="2"/>
        <v>APR</v>
      </c>
    </row>
    <row r="174" spans="1:10" ht="15.75" customHeight="1" x14ac:dyDescent="0.25">
      <c r="A174" s="7" t="s">
        <v>67</v>
      </c>
      <c r="B174" s="7" t="s">
        <v>68</v>
      </c>
      <c r="C174" s="7" t="s">
        <v>69</v>
      </c>
      <c r="D174" s="11">
        <v>50</v>
      </c>
      <c r="E174" s="7">
        <v>35</v>
      </c>
      <c r="F174" s="7" t="s">
        <v>70</v>
      </c>
      <c r="G174" s="7" t="str">
        <v>Standard Price</v>
      </c>
      <c r="H174" t="str">
        <f t="shared" si="0"/>
        <v>21</v>
      </c>
      <c r="I174" t="str">
        <f t="shared" si="1"/>
        <v>CA</v>
      </c>
      <c r="J174" t="str">
        <f t="shared" si="2"/>
        <v>AUG</v>
      </c>
    </row>
    <row r="175" spans="1:10" ht="15.75" customHeight="1" x14ac:dyDescent="0.25">
      <c r="A175" s="6" t="s">
        <v>71</v>
      </c>
      <c r="B175" s="6" t="s">
        <v>63</v>
      </c>
      <c r="C175" s="6" t="s">
        <v>72</v>
      </c>
      <c r="D175" s="10">
        <v>160</v>
      </c>
      <c r="E175" s="6">
        <v>15</v>
      </c>
      <c r="F175" s="6" t="s">
        <v>26</v>
      </c>
      <c r="G175" s="6" t="str">
        <v>Standard Price</v>
      </c>
      <c r="H175" t="str">
        <f t="shared" si="0"/>
        <v>20</v>
      </c>
      <c r="I175" t="str">
        <f t="shared" si="1"/>
        <v>CN</v>
      </c>
      <c r="J175" t="str">
        <f t="shared" si="2"/>
        <v>AUG</v>
      </c>
    </row>
    <row r="176" spans="1:10" ht="15.75" customHeight="1" x14ac:dyDescent="0.25">
      <c r="A176" s="7" t="s">
        <v>73</v>
      </c>
      <c r="B176" s="7" t="s">
        <v>24</v>
      </c>
      <c r="C176" s="7" t="s">
        <v>74</v>
      </c>
      <c r="D176" s="11">
        <v>980</v>
      </c>
      <c r="E176" s="7">
        <v>10</v>
      </c>
      <c r="F176" s="7" t="s">
        <v>26</v>
      </c>
      <c r="G176" s="7" t="str">
        <v>Higher Price</v>
      </c>
      <c r="H176" t="str">
        <f t="shared" si="0"/>
        <v>27</v>
      </c>
      <c r="I176" t="str">
        <f t="shared" si="1"/>
        <v>IT</v>
      </c>
      <c r="J176" t="str">
        <f t="shared" si="2"/>
        <v>JAN</v>
      </c>
    </row>
    <row r="177" spans="1:10" ht="15.75" customHeight="1" x14ac:dyDescent="0.25">
      <c r="A177" s="6" t="s">
        <v>75</v>
      </c>
      <c r="B177" s="6" t="s">
        <v>76</v>
      </c>
      <c r="C177" s="6" t="s">
        <v>77</v>
      </c>
      <c r="D177" s="10">
        <v>150</v>
      </c>
      <c r="E177" s="6">
        <v>15</v>
      </c>
      <c r="F177" s="6" t="s">
        <v>30</v>
      </c>
      <c r="G177" s="6" t="str">
        <v>Standard Price</v>
      </c>
      <c r="H177" t="str">
        <f t="shared" si="0"/>
        <v>01</v>
      </c>
      <c r="I177" t="str">
        <f t="shared" si="1"/>
        <v>UK</v>
      </c>
      <c r="J177" t="str">
        <f t="shared" si="2"/>
        <v>MAR</v>
      </c>
    </row>
    <row r="178" spans="1:10" ht="15.75" customHeight="1" x14ac:dyDescent="0.25">
      <c r="A178" s="7" t="s">
        <v>78</v>
      </c>
      <c r="B178" s="7" t="s">
        <v>79</v>
      </c>
      <c r="C178" s="7" t="s">
        <v>80</v>
      </c>
      <c r="D178" s="11">
        <v>200</v>
      </c>
      <c r="E178" s="7">
        <v>10</v>
      </c>
      <c r="F178" s="7" t="s">
        <v>41</v>
      </c>
      <c r="G178" s="7" t="str">
        <v>Standard Price</v>
      </c>
      <c r="H178" t="str">
        <f t="shared" si="0"/>
        <v>14</v>
      </c>
      <c r="I178" t="str">
        <f t="shared" si="1"/>
        <v>US</v>
      </c>
      <c r="J178" t="str">
        <f t="shared" si="2"/>
        <v>AUG</v>
      </c>
    </row>
    <row r="179" spans="1:10" ht="15.75" customHeight="1" x14ac:dyDescent="0.25">
      <c r="A179" s="6" t="s">
        <v>81</v>
      </c>
      <c r="B179" s="6" t="s">
        <v>82</v>
      </c>
      <c r="C179" s="6" t="s">
        <v>83</v>
      </c>
      <c r="D179" s="10">
        <v>700</v>
      </c>
      <c r="E179" s="6">
        <v>50</v>
      </c>
      <c r="F179" s="6" t="s">
        <v>26</v>
      </c>
      <c r="G179" s="6" t="str">
        <v>Higher Price</v>
      </c>
      <c r="H179" t="str">
        <f t="shared" si="0"/>
        <v>14</v>
      </c>
      <c r="I179" t="str">
        <f t="shared" si="1"/>
        <v>RU</v>
      </c>
      <c r="J179" t="str">
        <f t="shared" si="2"/>
        <v>MAY</v>
      </c>
    </row>
    <row r="180" spans="1:10" ht="15.75" customHeight="1" x14ac:dyDescent="0.25">
      <c r="A180" s="7" t="s">
        <v>84</v>
      </c>
      <c r="B180" s="7" t="s">
        <v>85</v>
      </c>
      <c r="C180" s="7" t="s">
        <v>86</v>
      </c>
      <c r="D180" s="11">
        <v>80</v>
      </c>
      <c r="E180" s="7">
        <v>20</v>
      </c>
      <c r="F180" s="7" t="s">
        <v>34</v>
      </c>
      <c r="G180" s="7" t="str">
        <v>Standard Price</v>
      </c>
      <c r="H180" t="str">
        <f t="shared" si="0"/>
        <v>09</v>
      </c>
      <c r="I180" t="str">
        <f t="shared" si="1"/>
        <v>CA</v>
      </c>
      <c r="J180" t="str">
        <f t="shared" si="2"/>
        <v>JAN</v>
      </c>
    </row>
    <row r="181" spans="1:10" ht="15.75" customHeight="1" x14ac:dyDescent="0.25">
      <c r="A181" s="6" t="s">
        <v>87</v>
      </c>
      <c r="B181" s="6" t="s">
        <v>88</v>
      </c>
      <c r="C181" s="6" t="s">
        <v>89</v>
      </c>
      <c r="D181" s="10">
        <v>150</v>
      </c>
      <c r="E181" s="6">
        <v>30</v>
      </c>
      <c r="F181" s="6" t="s">
        <v>26</v>
      </c>
      <c r="G181" s="6" t="str">
        <v>Standard Price</v>
      </c>
      <c r="H181" t="str">
        <f t="shared" si="0"/>
        <v>19</v>
      </c>
      <c r="I181" t="str">
        <f t="shared" si="1"/>
        <v>BR</v>
      </c>
      <c r="J181" t="str">
        <f t="shared" si="2"/>
        <v>JUL</v>
      </c>
    </row>
    <row r="182" spans="1:10" ht="15.75" customHeight="1" x14ac:dyDescent="0.25">
      <c r="A182" s="7" t="s">
        <v>67</v>
      </c>
      <c r="B182" s="7" t="s">
        <v>68</v>
      </c>
      <c r="C182" s="7" t="s">
        <v>69</v>
      </c>
      <c r="D182" s="11">
        <v>50</v>
      </c>
      <c r="E182" s="7">
        <v>35</v>
      </c>
      <c r="F182" s="7" t="s">
        <v>70</v>
      </c>
      <c r="G182" s="7" t="str">
        <v>Standard Price</v>
      </c>
      <c r="H182" t="str">
        <f t="shared" si="0"/>
        <v>21</v>
      </c>
      <c r="I182" t="str">
        <f t="shared" si="1"/>
        <v>CA</v>
      </c>
      <c r="J182" t="str">
        <f t="shared" si="2"/>
        <v>AUG</v>
      </c>
    </row>
    <row r="183" spans="1:10" ht="15.75" customHeight="1" x14ac:dyDescent="0.25">
      <c r="A183" s="6" t="s">
        <v>90</v>
      </c>
      <c r="B183" s="6" t="s">
        <v>36</v>
      </c>
      <c r="C183" s="6" t="s">
        <v>91</v>
      </c>
      <c r="D183" s="10">
        <v>800</v>
      </c>
      <c r="E183" s="6">
        <v>45</v>
      </c>
      <c r="F183" s="6" t="s">
        <v>26</v>
      </c>
      <c r="G183" s="6" t="str">
        <v>Higher Price</v>
      </c>
      <c r="H183" t="str">
        <f t="shared" si="0"/>
        <v>29</v>
      </c>
      <c r="I183" t="str">
        <f t="shared" si="1"/>
        <v>CA</v>
      </c>
      <c r="J183" t="str">
        <f t="shared" si="2"/>
        <v>SEP</v>
      </c>
    </row>
    <row r="184" spans="1:10" ht="15.75" customHeight="1" x14ac:dyDescent="0.25">
      <c r="A184" s="7" t="s">
        <v>92</v>
      </c>
      <c r="B184" s="7" t="s">
        <v>76</v>
      </c>
      <c r="C184" s="7" t="s">
        <v>93</v>
      </c>
      <c r="D184" s="11">
        <v>130</v>
      </c>
      <c r="E184" s="7">
        <v>25</v>
      </c>
      <c r="F184" s="7" t="s">
        <v>30</v>
      </c>
      <c r="G184" s="7" t="str">
        <v>Standard Price</v>
      </c>
      <c r="H184" t="str">
        <f t="shared" si="0"/>
        <v>03</v>
      </c>
      <c r="I184" t="str">
        <f t="shared" si="1"/>
        <v>CA</v>
      </c>
      <c r="J184" t="str">
        <f t="shared" si="2"/>
        <v>JUN</v>
      </c>
    </row>
    <row r="185" spans="1:10" ht="15.75" customHeight="1" x14ac:dyDescent="0.25">
      <c r="A185" s="6" t="s">
        <v>94</v>
      </c>
      <c r="B185" s="6" t="s">
        <v>49</v>
      </c>
      <c r="C185" s="6" t="s">
        <v>95</v>
      </c>
      <c r="D185" s="10">
        <v>400</v>
      </c>
      <c r="E185" s="6">
        <v>40</v>
      </c>
      <c r="F185" s="6" t="s">
        <v>34</v>
      </c>
      <c r="G185" s="6" t="str">
        <v>Standard Price</v>
      </c>
      <c r="H185" t="str">
        <f t="shared" si="0"/>
        <v>11</v>
      </c>
      <c r="I185" t="str">
        <f t="shared" si="1"/>
        <v>CA</v>
      </c>
      <c r="J185" t="str">
        <f t="shared" si="2"/>
        <v>JUL</v>
      </c>
    </row>
    <row r="186" spans="1:10" ht="15.75" customHeight="1" x14ac:dyDescent="0.25">
      <c r="A186" s="7" t="s">
        <v>65</v>
      </c>
      <c r="B186" s="7" t="s">
        <v>43</v>
      </c>
      <c r="C186" s="7" t="s">
        <v>66</v>
      </c>
      <c r="D186" s="11">
        <v>230</v>
      </c>
      <c r="E186" s="7">
        <v>20</v>
      </c>
      <c r="F186" s="7" t="s">
        <v>26</v>
      </c>
      <c r="G186" s="7" t="str">
        <v>Standard Price</v>
      </c>
      <c r="H186" t="str">
        <f t="shared" si="0"/>
        <v>16</v>
      </c>
      <c r="I186" t="str">
        <f t="shared" si="1"/>
        <v>ES</v>
      </c>
      <c r="J186" t="str">
        <f t="shared" si="2"/>
        <v>APR</v>
      </c>
    </row>
    <row r="187" spans="1:10" ht="15.75" customHeight="1" x14ac:dyDescent="0.25">
      <c r="A187" s="6" t="s">
        <v>96</v>
      </c>
      <c r="B187" s="6" t="s">
        <v>97</v>
      </c>
      <c r="C187" s="6" t="s">
        <v>98</v>
      </c>
      <c r="D187" s="10">
        <v>60</v>
      </c>
      <c r="E187" s="6">
        <v>30</v>
      </c>
      <c r="F187" s="6" t="s">
        <v>30</v>
      </c>
      <c r="G187" s="6" t="str">
        <v>Standard Price</v>
      </c>
      <c r="H187" t="str">
        <f t="shared" si="0"/>
        <v>07</v>
      </c>
      <c r="I187" t="str">
        <f t="shared" si="1"/>
        <v>CA</v>
      </c>
      <c r="J187" t="str">
        <f t="shared" si="2"/>
        <v>MAR</v>
      </c>
    </row>
    <row r="188" spans="1:10" ht="15.75" customHeight="1" x14ac:dyDescent="0.25">
      <c r="A188" s="7" t="s">
        <v>99</v>
      </c>
      <c r="B188" s="7" t="s">
        <v>100</v>
      </c>
      <c r="C188" s="7" t="s">
        <v>101</v>
      </c>
      <c r="D188" s="11">
        <v>40</v>
      </c>
      <c r="E188" s="7">
        <v>10</v>
      </c>
      <c r="F188" s="7" t="s">
        <v>34</v>
      </c>
      <c r="G188" s="7" t="str">
        <v>Standard Price</v>
      </c>
      <c r="H188" t="str">
        <f t="shared" si="0"/>
        <v>13</v>
      </c>
      <c r="I188" t="str">
        <f t="shared" si="1"/>
        <v>CA</v>
      </c>
      <c r="J188" t="str">
        <f t="shared" si="2"/>
        <v>APR</v>
      </c>
    </row>
    <row r="189" spans="1:10" ht="15.75" customHeight="1" x14ac:dyDescent="0.25">
      <c r="A189" s="6" t="s">
        <v>102</v>
      </c>
      <c r="B189" s="6" t="s">
        <v>88</v>
      </c>
      <c r="C189" s="6" t="s">
        <v>103</v>
      </c>
      <c r="D189" s="10">
        <v>130</v>
      </c>
      <c r="E189" s="6">
        <v>5</v>
      </c>
      <c r="F189" s="6" t="s">
        <v>26</v>
      </c>
      <c r="G189" s="6" t="str">
        <v>Standard Price</v>
      </c>
      <c r="H189" t="str">
        <f t="shared" si="0"/>
        <v>24</v>
      </c>
      <c r="I189" t="str">
        <f t="shared" si="1"/>
        <v>CA</v>
      </c>
      <c r="J189" t="str">
        <f t="shared" si="2"/>
        <v>MAY</v>
      </c>
    </row>
    <row r="190" spans="1:10" ht="15.75" customHeight="1" x14ac:dyDescent="0.25">
      <c r="A190" s="7" t="s">
        <v>104</v>
      </c>
      <c r="B190" s="7" t="s">
        <v>105</v>
      </c>
      <c r="C190" s="7" t="s">
        <v>106</v>
      </c>
      <c r="D190" s="11">
        <v>50</v>
      </c>
      <c r="E190" s="7">
        <v>50</v>
      </c>
      <c r="F190" s="7" t="s">
        <v>30</v>
      </c>
      <c r="G190" s="7" t="str">
        <v>Standard Price</v>
      </c>
      <c r="H190" t="str">
        <f t="shared" si="0"/>
        <v>02</v>
      </c>
      <c r="I190" t="str">
        <f t="shared" si="1"/>
        <v>CA</v>
      </c>
      <c r="J190" t="str">
        <f t="shared" si="2"/>
        <v>DEC</v>
      </c>
    </row>
    <row r="191" spans="1:10" ht="15.75" customHeight="1" x14ac:dyDescent="0.25">
      <c r="A191" s="6" t="s">
        <v>57</v>
      </c>
      <c r="B191" s="6" t="s">
        <v>24</v>
      </c>
      <c r="C191" s="6" t="s">
        <v>58</v>
      </c>
      <c r="D191" s="10">
        <v>950</v>
      </c>
      <c r="E191" s="6">
        <v>25</v>
      </c>
      <c r="F191" s="6" t="s">
        <v>26</v>
      </c>
      <c r="G191" s="6" t="str">
        <v>Higher Price</v>
      </c>
      <c r="H191" t="str">
        <f t="shared" si="0"/>
        <v>17</v>
      </c>
      <c r="I191" t="str">
        <f t="shared" si="1"/>
        <v>IN</v>
      </c>
      <c r="J191" t="str">
        <f t="shared" si="2"/>
        <v>JUN</v>
      </c>
    </row>
    <row r="192" spans="1:10" ht="15.75" customHeight="1" x14ac:dyDescent="0.25">
      <c r="A192" s="7" t="s">
        <v>107</v>
      </c>
      <c r="B192" s="7" t="s">
        <v>108</v>
      </c>
      <c r="C192" s="7" t="s">
        <v>109</v>
      </c>
      <c r="D192" s="11">
        <v>100</v>
      </c>
      <c r="E192" s="7">
        <v>20</v>
      </c>
      <c r="F192" s="7" t="s">
        <v>70</v>
      </c>
      <c r="G192" s="7" t="str">
        <v>Standard Price</v>
      </c>
      <c r="H192" t="str">
        <f t="shared" si="0"/>
        <v>09</v>
      </c>
      <c r="I192" t="str">
        <f t="shared" si="1"/>
        <v>FR</v>
      </c>
      <c r="J192" t="str">
        <f t="shared" si="2"/>
        <v>JUL</v>
      </c>
    </row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A76:D76"/>
    <mergeCell ref="A142:F142"/>
    <mergeCell ref="A39:K41"/>
    <mergeCell ref="A43:B43"/>
    <mergeCell ref="A45:D45"/>
    <mergeCell ref="A49:D49"/>
    <mergeCell ref="A73:B73"/>
    <mergeCell ref="A136:B136"/>
    <mergeCell ref="A138:G138"/>
    <mergeCell ref="A95:L95"/>
    <mergeCell ref="A79:C79"/>
    <mergeCell ref="A82:B82"/>
    <mergeCell ref="A85:D85"/>
    <mergeCell ref="A89:D89"/>
    <mergeCell ref="A93:B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 sai</cp:lastModifiedBy>
  <dcterms:modified xsi:type="dcterms:W3CDTF">2026-09-12T17:05:05Z</dcterms:modified>
</cp:coreProperties>
</file>